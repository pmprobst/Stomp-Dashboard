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probst/Documents/Stomp Dashboard/"/>
    </mc:Choice>
  </mc:AlternateContent>
  <xr:revisionPtr revIDLastSave="0" documentId="13_ncr:1_{B83FB7EA-0D4D-6445-858B-2996843D1F94}" xr6:coauthVersionLast="47" xr6:coauthVersionMax="47" xr10:uidLastSave="{00000000-0000-0000-0000-000000000000}"/>
  <bookViews>
    <workbookView xWindow="780" yWindow="1000" windowWidth="27640" windowHeight="15740" activeTab="4" xr2:uid="{8FE7F687-89AF-374F-B386-3E81D582AEE4}"/>
  </bookViews>
  <sheets>
    <sheet name="2.16.25" sheetId="2" r:id="rId1"/>
    <sheet name="2.23.25" sheetId="5" r:id="rId2"/>
    <sheet name="2.15.25" sheetId="1" r:id="rId3"/>
    <sheet name="Sheet2" sheetId="4" r:id="rId4"/>
    <sheet name="6.20.2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6" l="1"/>
  <c r="F21" i="6"/>
  <c r="G21" i="6"/>
  <c r="H21" i="6"/>
  <c r="I21" i="6"/>
  <c r="J21" i="6"/>
  <c r="K21" i="6"/>
  <c r="L21" i="6"/>
  <c r="M21" i="6"/>
  <c r="E22" i="6"/>
  <c r="G22" i="6"/>
  <c r="H22" i="6"/>
  <c r="I22" i="6"/>
  <c r="J22" i="6"/>
  <c r="K22" i="6"/>
  <c r="L22" i="6"/>
  <c r="M22" i="6"/>
  <c r="D22" i="6"/>
  <c r="D21" i="6"/>
  <c r="Y18" i="6"/>
  <c r="X18" i="6"/>
  <c r="W18" i="6"/>
  <c r="V18" i="6"/>
  <c r="U18" i="6"/>
  <c r="T18" i="6"/>
  <c r="S18" i="6"/>
  <c r="R18" i="6"/>
  <c r="Q18" i="6"/>
  <c r="P18" i="6"/>
  <c r="Y16" i="6"/>
  <c r="X16" i="6"/>
  <c r="W16" i="6"/>
  <c r="V16" i="6"/>
  <c r="U16" i="6"/>
  <c r="T16" i="6"/>
  <c r="S16" i="6"/>
  <c r="R16" i="6"/>
  <c r="Q16" i="6"/>
  <c r="P16" i="6"/>
  <c r="Y14" i="6"/>
  <c r="X14" i="6"/>
  <c r="W14" i="6"/>
  <c r="V14" i="6"/>
  <c r="U14" i="6"/>
  <c r="T14" i="6"/>
  <c r="S14" i="6"/>
  <c r="Q14" i="6"/>
  <c r="P14" i="6"/>
  <c r="Y12" i="6"/>
  <c r="X12" i="6"/>
  <c r="W12" i="6"/>
  <c r="V12" i="6"/>
  <c r="U12" i="6"/>
  <c r="T12" i="6"/>
  <c r="S12" i="6"/>
  <c r="R12" i="6"/>
  <c r="Q12" i="6"/>
  <c r="P12" i="6"/>
  <c r="Y10" i="6"/>
  <c r="X10" i="6"/>
  <c r="W10" i="6"/>
  <c r="V10" i="6"/>
  <c r="U10" i="6"/>
  <c r="T10" i="6"/>
  <c r="S10" i="6"/>
  <c r="R10" i="6"/>
  <c r="Q10" i="6"/>
  <c r="P10" i="6"/>
  <c r="Y8" i="6"/>
  <c r="X8" i="6"/>
  <c r="W8" i="6"/>
  <c r="V8" i="6"/>
  <c r="U8" i="6"/>
  <c r="T8" i="6"/>
  <c r="S8" i="6"/>
  <c r="R8" i="6"/>
  <c r="Q8" i="6"/>
  <c r="P8" i="6"/>
  <c r="Y6" i="6"/>
  <c r="X6" i="6"/>
  <c r="W6" i="6"/>
  <c r="V6" i="6"/>
  <c r="U6" i="6"/>
  <c r="T6" i="6"/>
  <c r="S6" i="6"/>
  <c r="R6" i="6"/>
  <c r="Q6" i="6"/>
  <c r="P6" i="6"/>
  <c r="Y4" i="6"/>
  <c r="X4" i="6"/>
  <c r="W4" i="6"/>
  <c r="V4" i="6"/>
  <c r="U4" i="6"/>
  <c r="T4" i="6"/>
  <c r="S4" i="6"/>
  <c r="R4" i="6"/>
  <c r="Q4" i="6"/>
  <c r="P4" i="6"/>
  <c r="Y2" i="6"/>
  <c r="X2" i="6"/>
  <c r="W2" i="6"/>
  <c r="V2" i="6"/>
  <c r="U2" i="6"/>
  <c r="T2" i="6"/>
  <c r="S2" i="6"/>
  <c r="R2" i="6"/>
  <c r="Q2" i="6"/>
  <c r="P2" i="6"/>
  <c r="O16" i="5"/>
  <c r="O14" i="5"/>
  <c r="O12" i="5"/>
  <c r="O10" i="5"/>
  <c r="O8" i="5"/>
  <c r="O6" i="5"/>
  <c r="O4" i="5"/>
  <c r="O2" i="5"/>
  <c r="M34" i="5"/>
  <c r="Y8" i="5" s="1"/>
  <c r="L34" i="5"/>
  <c r="X6" i="5" s="1"/>
  <c r="K34" i="5"/>
  <c r="W14" i="5" s="1"/>
  <c r="J34" i="5"/>
  <c r="V4" i="5" s="1"/>
  <c r="I34" i="5"/>
  <c r="U6" i="5" s="1"/>
  <c r="H34" i="5"/>
  <c r="G34" i="5"/>
  <c r="F34" i="5"/>
  <c r="R16" i="5" s="1"/>
  <c r="E34" i="5"/>
  <c r="Q10" i="5" s="1"/>
  <c r="D34" i="5"/>
  <c r="P4" i="5" s="1"/>
  <c r="M33" i="5"/>
  <c r="L33" i="5"/>
  <c r="K33" i="5"/>
  <c r="J33" i="5"/>
  <c r="I33" i="5"/>
  <c r="H33" i="5"/>
  <c r="G33" i="5"/>
  <c r="F33" i="5"/>
  <c r="E33" i="5"/>
  <c r="D33" i="5"/>
  <c r="Y16" i="5"/>
  <c r="Y14" i="5"/>
  <c r="X14" i="5"/>
  <c r="Y12" i="5"/>
  <c r="Q12" i="5"/>
  <c r="Y6" i="5"/>
  <c r="Q4" i="5"/>
  <c r="Q2" i="5"/>
  <c r="O30" i="4"/>
  <c r="O28" i="4"/>
  <c r="O26" i="4"/>
  <c r="O24" i="4"/>
  <c r="O22" i="4"/>
  <c r="O20" i="4"/>
  <c r="O18" i="4"/>
  <c r="O16" i="4"/>
  <c r="O14" i="4"/>
  <c r="O12" i="4"/>
  <c r="O10" i="4"/>
  <c r="O8" i="4"/>
  <c r="O6" i="4"/>
  <c r="O4" i="4"/>
  <c r="O2" i="4"/>
  <c r="M34" i="4"/>
  <c r="L34" i="4"/>
  <c r="K34" i="4"/>
  <c r="J34" i="4"/>
  <c r="I34" i="4"/>
  <c r="H34" i="4"/>
  <c r="G34" i="4"/>
  <c r="F34" i="4"/>
  <c r="E34" i="4"/>
  <c r="D34" i="4"/>
  <c r="M33" i="4"/>
  <c r="L33" i="4"/>
  <c r="K33" i="4"/>
  <c r="J33" i="4"/>
  <c r="I33" i="4"/>
  <c r="H33" i="4"/>
  <c r="G33" i="4"/>
  <c r="F33" i="4"/>
  <c r="E33" i="4"/>
  <c r="D33" i="4"/>
  <c r="Y30" i="4"/>
  <c r="AK16" i="4" s="1"/>
  <c r="X30" i="4"/>
  <c r="AJ16" i="4" s="1"/>
  <c r="W30" i="4"/>
  <c r="AI16" i="4" s="1"/>
  <c r="V30" i="4"/>
  <c r="AH16" i="4" s="1"/>
  <c r="U30" i="4"/>
  <c r="T30" i="4"/>
  <c r="S30" i="4"/>
  <c r="R30" i="4"/>
  <c r="Q30" i="4"/>
  <c r="AC16" i="4" s="1"/>
  <c r="P30" i="4"/>
  <c r="AB16" i="4" s="1"/>
  <c r="Y28" i="4"/>
  <c r="AK15" i="4" s="1"/>
  <c r="X28" i="4"/>
  <c r="AJ15" i="4" s="1"/>
  <c r="W28" i="4"/>
  <c r="AI15" i="4" s="1"/>
  <c r="V28" i="4"/>
  <c r="AH15" i="4" s="1"/>
  <c r="U28" i="4"/>
  <c r="AG15" i="4" s="1"/>
  <c r="T28" i="4"/>
  <c r="AF15" i="4" s="1"/>
  <c r="S28" i="4"/>
  <c r="AE15" i="4" s="1"/>
  <c r="R28" i="4"/>
  <c r="AD15" i="4" s="1"/>
  <c r="Q28" i="4"/>
  <c r="AC15" i="4" s="1"/>
  <c r="P28" i="4"/>
  <c r="AB15" i="4" s="1"/>
  <c r="Y26" i="4"/>
  <c r="AK14" i="4" s="1"/>
  <c r="X26" i="4"/>
  <c r="AJ14" i="4" s="1"/>
  <c r="W26" i="4"/>
  <c r="AI14" i="4" s="1"/>
  <c r="V26" i="4"/>
  <c r="AH14" i="4" s="1"/>
  <c r="U26" i="4"/>
  <c r="T26" i="4"/>
  <c r="S26" i="4"/>
  <c r="R26" i="4"/>
  <c r="Q26" i="4"/>
  <c r="AC14" i="4" s="1"/>
  <c r="P26" i="4"/>
  <c r="AB14" i="4" s="1"/>
  <c r="Y24" i="4"/>
  <c r="X24" i="4"/>
  <c r="W24" i="4"/>
  <c r="AI13" i="4" s="1"/>
  <c r="V24" i="4"/>
  <c r="AH13" i="4" s="1"/>
  <c r="U24" i="4"/>
  <c r="AG13" i="4" s="1"/>
  <c r="T24" i="4"/>
  <c r="AF13" i="4" s="1"/>
  <c r="S24" i="4"/>
  <c r="AE13" i="4" s="1"/>
  <c r="R24" i="4"/>
  <c r="Q24" i="4"/>
  <c r="P24" i="4"/>
  <c r="Y22" i="4"/>
  <c r="AK12" i="4" s="1"/>
  <c r="X22" i="4"/>
  <c r="AJ12" i="4" s="1"/>
  <c r="W22" i="4"/>
  <c r="AI12" i="4" s="1"/>
  <c r="V22" i="4"/>
  <c r="AH12" i="4" s="1"/>
  <c r="U22" i="4"/>
  <c r="T22" i="4"/>
  <c r="S22" i="4"/>
  <c r="AE12" i="4" s="1"/>
  <c r="R22" i="4"/>
  <c r="AD12" i="4" s="1"/>
  <c r="Q22" i="4"/>
  <c r="AC12" i="4" s="1"/>
  <c r="P22" i="4"/>
  <c r="AB12" i="4" s="1"/>
  <c r="Y20" i="4"/>
  <c r="AK11" i="4" s="1"/>
  <c r="X20" i="4"/>
  <c r="AJ11" i="4" s="1"/>
  <c r="W20" i="4"/>
  <c r="AI11" i="4" s="1"/>
  <c r="V20" i="4"/>
  <c r="AH11" i="4" s="1"/>
  <c r="U20" i="4"/>
  <c r="AG11" i="4" s="1"/>
  <c r="T20" i="4"/>
  <c r="AF11" i="4" s="1"/>
  <c r="S20" i="4"/>
  <c r="AE11" i="4" s="1"/>
  <c r="R20" i="4"/>
  <c r="AD11" i="4" s="1"/>
  <c r="Q20" i="4"/>
  <c r="P20" i="4"/>
  <c r="Y18" i="4"/>
  <c r="AK10" i="4" s="1"/>
  <c r="X18" i="4"/>
  <c r="AJ10" i="4" s="1"/>
  <c r="W18" i="4"/>
  <c r="AI10" i="4" s="1"/>
  <c r="V18" i="4"/>
  <c r="AH10" i="4" s="1"/>
  <c r="U18" i="4"/>
  <c r="AG10" i="4" s="1"/>
  <c r="T18" i="4"/>
  <c r="AF10" i="4" s="1"/>
  <c r="S18" i="4"/>
  <c r="AE10" i="4" s="1"/>
  <c r="R18" i="4"/>
  <c r="AD10" i="4" s="1"/>
  <c r="Q18" i="4"/>
  <c r="AC10" i="4" s="1"/>
  <c r="P18" i="4"/>
  <c r="AB10" i="4" s="1"/>
  <c r="AG16" i="4"/>
  <c r="AF16" i="4"/>
  <c r="AE16" i="4"/>
  <c r="AD16" i="4"/>
  <c r="Y16" i="4"/>
  <c r="X16" i="4"/>
  <c r="W16" i="4"/>
  <c r="AI9" i="4" s="1"/>
  <c r="V16" i="4"/>
  <c r="AH9" i="4" s="1"/>
  <c r="U16" i="4"/>
  <c r="AG9" i="4" s="1"/>
  <c r="T16" i="4"/>
  <c r="AF9" i="4" s="1"/>
  <c r="S16" i="4"/>
  <c r="AE9" i="4" s="1"/>
  <c r="R16" i="4"/>
  <c r="AD9" i="4" s="1"/>
  <c r="Q16" i="4"/>
  <c r="AC9" i="4" s="1"/>
  <c r="P16" i="4"/>
  <c r="AB9" i="4" s="1"/>
  <c r="AG14" i="4"/>
  <c r="AF14" i="4"/>
  <c r="AE14" i="4"/>
  <c r="AD14" i="4"/>
  <c r="Y14" i="4"/>
  <c r="AK8" i="4" s="1"/>
  <c r="X14" i="4"/>
  <c r="AJ8" i="4" s="1"/>
  <c r="W14" i="4"/>
  <c r="AI8" i="4" s="1"/>
  <c r="V14" i="4"/>
  <c r="AH8" i="4" s="1"/>
  <c r="U14" i="4"/>
  <c r="AG8" i="4" s="1"/>
  <c r="T14" i="4"/>
  <c r="S14" i="4"/>
  <c r="AE8" i="4" s="1"/>
  <c r="R14" i="4"/>
  <c r="AD8" i="4" s="1"/>
  <c r="Q14" i="4"/>
  <c r="AC8" i="4" s="1"/>
  <c r="P14" i="4"/>
  <c r="AB8" i="4" s="1"/>
  <c r="AK13" i="4"/>
  <c r="AJ13" i="4"/>
  <c r="AC13" i="4"/>
  <c r="AB13" i="4"/>
  <c r="AG12" i="4"/>
  <c r="AF12" i="4"/>
  <c r="Y12" i="4"/>
  <c r="AK7" i="4" s="1"/>
  <c r="X12" i="4"/>
  <c r="AJ7" i="4" s="1"/>
  <c r="W12" i="4"/>
  <c r="AI7" i="4" s="1"/>
  <c r="V12" i="4"/>
  <c r="AH7" i="4" s="1"/>
  <c r="U12" i="4"/>
  <c r="AG7" i="4" s="1"/>
  <c r="T12" i="4"/>
  <c r="AF7" i="4" s="1"/>
  <c r="S12" i="4"/>
  <c r="R12" i="4"/>
  <c r="Q12" i="4"/>
  <c r="P12" i="4"/>
  <c r="AC11" i="4"/>
  <c r="AB11" i="4"/>
  <c r="Y10" i="4"/>
  <c r="AK6" i="4" s="1"/>
  <c r="X10" i="4"/>
  <c r="AJ6" i="4" s="1"/>
  <c r="W10" i="4"/>
  <c r="AI6" i="4" s="1"/>
  <c r="V10" i="4"/>
  <c r="AH6" i="4" s="1"/>
  <c r="U10" i="4"/>
  <c r="AG6" i="4" s="1"/>
  <c r="T10" i="4"/>
  <c r="S10" i="4"/>
  <c r="R10" i="4"/>
  <c r="Q10" i="4"/>
  <c r="AC6" i="4" s="1"/>
  <c r="P10" i="4"/>
  <c r="AB6" i="4" s="1"/>
  <c r="AK9" i="4"/>
  <c r="AJ9" i="4"/>
  <c r="Y8" i="4"/>
  <c r="AK5" i="4" s="1"/>
  <c r="X8" i="4"/>
  <c r="AJ5" i="4" s="1"/>
  <c r="W8" i="4"/>
  <c r="AI5" i="4" s="1"/>
  <c r="V8" i="4"/>
  <c r="AH5" i="4" s="1"/>
  <c r="U8" i="4"/>
  <c r="AG5" i="4" s="1"/>
  <c r="T8" i="4"/>
  <c r="AF5" i="4" s="1"/>
  <c r="S8" i="4"/>
  <c r="R8" i="4"/>
  <c r="Q8" i="4"/>
  <c r="P8" i="4"/>
  <c r="AB5" i="4" s="1"/>
  <c r="AE7" i="4"/>
  <c r="AD7" i="4"/>
  <c r="AC7" i="4"/>
  <c r="AB7" i="4"/>
  <c r="AE6" i="4"/>
  <c r="AD6" i="4"/>
  <c r="Y6" i="4"/>
  <c r="AK4" i="4" s="1"/>
  <c r="X6" i="4"/>
  <c r="AJ4" i="4" s="1"/>
  <c r="W6" i="4"/>
  <c r="AI4" i="4" s="1"/>
  <c r="V6" i="4"/>
  <c r="AH4" i="4" s="1"/>
  <c r="U6" i="4"/>
  <c r="AG4" i="4" s="1"/>
  <c r="T6" i="4"/>
  <c r="S6" i="4"/>
  <c r="AE4" i="4" s="1"/>
  <c r="R6" i="4"/>
  <c r="AD4" i="4" s="1"/>
  <c r="Q6" i="4"/>
  <c r="AC4" i="4" s="1"/>
  <c r="P6" i="4"/>
  <c r="AB4" i="4" s="1"/>
  <c r="AE5" i="4"/>
  <c r="AD5" i="4"/>
  <c r="AC5" i="4"/>
  <c r="Y4" i="4"/>
  <c r="X4" i="4"/>
  <c r="W4" i="4"/>
  <c r="AI3" i="4" s="1"/>
  <c r="V4" i="4"/>
  <c r="AH3" i="4" s="1"/>
  <c r="U4" i="4"/>
  <c r="AG3" i="4" s="1"/>
  <c r="T4" i="4"/>
  <c r="B4" i="4" s="1"/>
  <c r="S4" i="4"/>
  <c r="R4" i="4"/>
  <c r="Q4" i="4"/>
  <c r="AC3" i="4" s="1"/>
  <c r="P4" i="4"/>
  <c r="AB3" i="4" s="1"/>
  <c r="AK3" i="4"/>
  <c r="AJ3" i="4"/>
  <c r="AE3" i="4"/>
  <c r="AD3" i="4"/>
  <c r="Y2" i="4"/>
  <c r="AK2" i="4" s="1"/>
  <c r="X2" i="4"/>
  <c r="AJ2" i="4" s="1"/>
  <c r="W2" i="4"/>
  <c r="AI2" i="4" s="1"/>
  <c r="V2" i="4"/>
  <c r="AH2" i="4" s="1"/>
  <c r="U2" i="4"/>
  <c r="AG2" i="4" s="1"/>
  <c r="T2" i="4"/>
  <c r="S2" i="4"/>
  <c r="AE2" i="4" s="1"/>
  <c r="R2" i="4"/>
  <c r="AD2" i="4" s="1"/>
  <c r="Q2" i="4"/>
  <c r="AC2" i="4" s="1"/>
  <c r="P2" i="4"/>
  <c r="AB2" i="4" s="1"/>
  <c r="Y24" i="2"/>
  <c r="X24" i="2"/>
  <c r="V24" i="2"/>
  <c r="T24" i="2"/>
  <c r="R24" i="2"/>
  <c r="Y16" i="2"/>
  <c r="X16" i="2"/>
  <c r="T16" i="2"/>
  <c r="R16" i="2"/>
  <c r="Y8" i="2"/>
  <c r="R6" i="2"/>
  <c r="R2" i="2"/>
  <c r="M34" i="2"/>
  <c r="Y2" i="2" s="1"/>
  <c r="L34" i="2"/>
  <c r="X22" i="2" s="1"/>
  <c r="K34" i="2"/>
  <c r="W24" i="2" s="1"/>
  <c r="J34" i="2"/>
  <c r="V16" i="2" s="1"/>
  <c r="I34" i="2"/>
  <c r="U26" i="2" s="1"/>
  <c r="H34" i="2"/>
  <c r="T26" i="2" s="1"/>
  <c r="G34" i="2"/>
  <c r="S28" i="2" s="1"/>
  <c r="F34" i="2"/>
  <c r="R30" i="2" s="1"/>
  <c r="E34" i="2"/>
  <c r="Q22" i="2" s="1"/>
  <c r="D34" i="2"/>
  <c r="P30" i="2" s="1"/>
  <c r="M33" i="2"/>
  <c r="L33" i="2"/>
  <c r="K33" i="2"/>
  <c r="J33" i="2"/>
  <c r="I33" i="2"/>
  <c r="H33" i="2"/>
  <c r="G33" i="2"/>
  <c r="F33" i="2"/>
  <c r="E33" i="2"/>
  <c r="D33" i="2"/>
  <c r="AC7" i="1"/>
  <c r="AK11" i="1"/>
  <c r="AG15" i="1"/>
  <c r="AK15" i="1"/>
  <c r="AB13" i="1"/>
  <c r="E33" i="1"/>
  <c r="F33" i="1"/>
  <c r="G33" i="1"/>
  <c r="H33" i="1"/>
  <c r="I33" i="1"/>
  <c r="J33" i="1"/>
  <c r="K33" i="1"/>
  <c r="L33" i="1"/>
  <c r="M33" i="1"/>
  <c r="D33" i="1"/>
  <c r="M34" i="1"/>
  <c r="E34" i="1"/>
  <c r="F34" i="1"/>
  <c r="G34" i="1"/>
  <c r="H34" i="1"/>
  <c r="I34" i="1"/>
  <c r="J34" i="1"/>
  <c r="K34" i="1"/>
  <c r="L34" i="1"/>
  <c r="D34" i="1"/>
  <c r="Y30" i="1"/>
  <c r="AK16" i="1" s="1"/>
  <c r="X30" i="1"/>
  <c r="AJ16" i="1" s="1"/>
  <c r="W30" i="1"/>
  <c r="AI16" i="1" s="1"/>
  <c r="V30" i="1"/>
  <c r="AH16" i="1" s="1"/>
  <c r="U30" i="1"/>
  <c r="AG16" i="1" s="1"/>
  <c r="T30" i="1"/>
  <c r="AF16" i="1" s="1"/>
  <c r="S30" i="1"/>
  <c r="AE16" i="1" s="1"/>
  <c r="R30" i="1"/>
  <c r="AD16" i="1" s="1"/>
  <c r="Q30" i="1"/>
  <c r="AC16" i="1" s="1"/>
  <c r="P30" i="1"/>
  <c r="AB16" i="1" s="1"/>
  <c r="Y28" i="1"/>
  <c r="X28" i="1"/>
  <c r="AJ15" i="1" s="1"/>
  <c r="W28" i="1"/>
  <c r="AI15" i="1" s="1"/>
  <c r="V28" i="1"/>
  <c r="AH15" i="1" s="1"/>
  <c r="U28" i="1"/>
  <c r="T28" i="1"/>
  <c r="AF15" i="1" s="1"/>
  <c r="S28" i="1"/>
  <c r="AE15" i="1" s="1"/>
  <c r="R28" i="1"/>
  <c r="AD15" i="1" s="1"/>
  <c r="Q28" i="1"/>
  <c r="AC15" i="1" s="1"/>
  <c r="P28" i="1"/>
  <c r="AB15" i="1" s="1"/>
  <c r="Y26" i="1"/>
  <c r="AK14" i="1" s="1"/>
  <c r="X26" i="1"/>
  <c r="AJ14" i="1" s="1"/>
  <c r="W26" i="1"/>
  <c r="AI14" i="1" s="1"/>
  <c r="V26" i="1"/>
  <c r="AH14" i="1" s="1"/>
  <c r="U26" i="1"/>
  <c r="AG14" i="1" s="1"/>
  <c r="T26" i="1"/>
  <c r="AF14" i="1" s="1"/>
  <c r="S26" i="1"/>
  <c r="AE14" i="1" s="1"/>
  <c r="R26" i="1"/>
  <c r="AD14" i="1" s="1"/>
  <c r="Q26" i="1"/>
  <c r="AC14" i="1" s="1"/>
  <c r="P26" i="1"/>
  <c r="AB14" i="1" s="1"/>
  <c r="Y24" i="1"/>
  <c r="AK13" i="1" s="1"/>
  <c r="X24" i="1"/>
  <c r="AJ13" i="1" s="1"/>
  <c r="W24" i="1"/>
  <c r="AI13" i="1" s="1"/>
  <c r="V24" i="1"/>
  <c r="AH13" i="1" s="1"/>
  <c r="U24" i="1"/>
  <c r="AG13" i="1" s="1"/>
  <c r="T24" i="1"/>
  <c r="AF13" i="1" s="1"/>
  <c r="S24" i="1"/>
  <c r="AE13" i="1" s="1"/>
  <c r="R24" i="1"/>
  <c r="AD13" i="1" s="1"/>
  <c r="Q24" i="1"/>
  <c r="AC13" i="1" s="1"/>
  <c r="P24" i="1"/>
  <c r="Y22" i="1"/>
  <c r="AK12" i="1" s="1"/>
  <c r="X22" i="1"/>
  <c r="AJ12" i="1" s="1"/>
  <c r="W22" i="1"/>
  <c r="AI12" i="1" s="1"/>
  <c r="V22" i="1"/>
  <c r="AH12" i="1" s="1"/>
  <c r="U22" i="1"/>
  <c r="AG12" i="1" s="1"/>
  <c r="T22" i="1"/>
  <c r="AF12" i="1" s="1"/>
  <c r="S22" i="1"/>
  <c r="AE12" i="1" s="1"/>
  <c r="R22" i="1"/>
  <c r="AD12" i="1" s="1"/>
  <c r="Q22" i="1"/>
  <c r="AC12" i="1" s="1"/>
  <c r="P22" i="1"/>
  <c r="AB12" i="1" s="1"/>
  <c r="Y20" i="1"/>
  <c r="X20" i="1"/>
  <c r="AJ11" i="1" s="1"/>
  <c r="W20" i="1"/>
  <c r="AI11" i="1" s="1"/>
  <c r="V20" i="1"/>
  <c r="AH11" i="1" s="1"/>
  <c r="U20" i="1"/>
  <c r="AG11" i="1" s="1"/>
  <c r="T20" i="1"/>
  <c r="AF11" i="1" s="1"/>
  <c r="S20" i="1"/>
  <c r="AE11" i="1" s="1"/>
  <c r="R20" i="1"/>
  <c r="AD11" i="1" s="1"/>
  <c r="Q20" i="1"/>
  <c r="AC11" i="1" s="1"/>
  <c r="P20" i="1"/>
  <c r="AB11" i="1" s="1"/>
  <c r="Y18" i="1"/>
  <c r="AK10" i="1" s="1"/>
  <c r="X18" i="1"/>
  <c r="AJ10" i="1" s="1"/>
  <c r="W18" i="1"/>
  <c r="AI10" i="1" s="1"/>
  <c r="V18" i="1"/>
  <c r="AH10" i="1" s="1"/>
  <c r="U18" i="1"/>
  <c r="AG10" i="1" s="1"/>
  <c r="T18" i="1"/>
  <c r="AF10" i="1" s="1"/>
  <c r="S18" i="1"/>
  <c r="AE10" i="1" s="1"/>
  <c r="R18" i="1"/>
  <c r="AD10" i="1" s="1"/>
  <c r="Q18" i="1"/>
  <c r="AC10" i="1" s="1"/>
  <c r="P18" i="1"/>
  <c r="AB10" i="1" s="1"/>
  <c r="Y12" i="1"/>
  <c r="AK7" i="1" s="1"/>
  <c r="X12" i="1"/>
  <c r="AJ7" i="1" s="1"/>
  <c r="W12" i="1"/>
  <c r="AI7" i="1" s="1"/>
  <c r="V12" i="1"/>
  <c r="AH7" i="1" s="1"/>
  <c r="U12" i="1"/>
  <c r="AG7" i="1" s="1"/>
  <c r="T12" i="1"/>
  <c r="AF7" i="1" s="1"/>
  <c r="S12" i="1"/>
  <c r="AE7" i="1" s="1"/>
  <c r="R12" i="1"/>
  <c r="AD7" i="1" s="1"/>
  <c r="Q12" i="1"/>
  <c r="P12" i="1"/>
  <c r="AB7" i="1" s="1"/>
  <c r="Y14" i="1"/>
  <c r="AK8" i="1" s="1"/>
  <c r="X14" i="1"/>
  <c r="AJ8" i="1" s="1"/>
  <c r="W14" i="1"/>
  <c r="AI8" i="1" s="1"/>
  <c r="V14" i="1"/>
  <c r="AH8" i="1" s="1"/>
  <c r="U14" i="1"/>
  <c r="AG8" i="1" s="1"/>
  <c r="T14" i="1"/>
  <c r="AF8" i="1" s="1"/>
  <c r="S14" i="1"/>
  <c r="AE8" i="1" s="1"/>
  <c r="R14" i="1"/>
  <c r="AD8" i="1" s="1"/>
  <c r="Q14" i="1"/>
  <c r="AC8" i="1" s="1"/>
  <c r="P14" i="1"/>
  <c r="AB8" i="1" s="1"/>
  <c r="Y16" i="1"/>
  <c r="AK9" i="1" s="1"/>
  <c r="X16" i="1"/>
  <c r="AJ9" i="1" s="1"/>
  <c r="W16" i="1"/>
  <c r="AI9" i="1" s="1"/>
  <c r="V16" i="1"/>
  <c r="AH9" i="1" s="1"/>
  <c r="U16" i="1"/>
  <c r="AG9" i="1" s="1"/>
  <c r="T16" i="1"/>
  <c r="AF9" i="1" s="1"/>
  <c r="S16" i="1"/>
  <c r="AE9" i="1" s="1"/>
  <c r="R16" i="1"/>
  <c r="AD9" i="1" s="1"/>
  <c r="Q16" i="1"/>
  <c r="AC9" i="1" s="1"/>
  <c r="P16" i="1"/>
  <c r="AB9" i="1" s="1"/>
  <c r="Y10" i="1"/>
  <c r="AK6" i="1" s="1"/>
  <c r="X10" i="1"/>
  <c r="AJ6" i="1" s="1"/>
  <c r="W10" i="1"/>
  <c r="AI6" i="1" s="1"/>
  <c r="V10" i="1"/>
  <c r="AH6" i="1" s="1"/>
  <c r="U10" i="1"/>
  <c r="AG6" i="1" s="1"/>
  <c r="T10" i="1"/>
  <c r="AF6" i="1" s="1"/>
  <c r="S10" i="1"/>
  <c r="AE6" i="1" s="1"/>
  <c r="R10" i="1"/>
  <c r="AD6" i="1" s="1"/>
  <c r="Q10" i="1"/>
  <c r="AC6" i="1" s="1"/>
  <c r="P10" i="1"/>
  <c r="AB6" i="1" s="1"/>
  <c r="Y8" i="1"/>
  <c r="AK5" i="1" s="1"/>
  <c r="X8" i="1"/>
  <c r="AJ5" i="1" s="1"/>
  <c r="W8" i="1"/>
  <c r="AI5" i="1" s="1"/>
  <c r="V8" i="1"/>
  <c r="AH5" i="1" s="1"/>
  <c r="U8" i="1"/>
  <c r="AG5" i="1" s="1"/>
  <c r="T8" i="1"/>
  <c r="AF5" i="1" s="1"/>
  <c r="S8" i="1"/>
  <c r="AE5" i="1" s="1"/>
  <c r="R8" i="1"/>
  <c r="AD5" i="1" s="1"/>
  <c r="Q8" i="1"/>
  <c r="AC5" i="1" s="1"/>
  <c r="P8" i="1"/>
  <c r="AB5" i="1" s="1"/>
  <c r="Y6" i="1"/>
  <c r="AK4" i="1" s="1"/>
  <c r="X6" i="1"/>
  <c r="AJ4" i="1" s="1"/>
  <c r="W6" i="1"/>
  <c r="AI4" i="1" s="1"/>
  <c r="V6" i="1"/>
  <c r="AH4" i="1" s="1"/>
  <c r="U6" i="1"/>
  <c r="AG4" i="1" s="1"/>
  <c r="T6" i="1"/>
  <c r="AF4" i="1" s="1"/>
  <c r="S6" i="1"/>
  <c r="AE4" i="1" s="1"/>
  <c r="R6" i="1"/>
  <c r="AD4" i="1" s="1"/>
  <c r="Q6" i="1"/>
  <c r="AC4" i="1" s="1"/>
  <c r="P6" i="1"/>
  <c r="AB4" i="1" s="1"/>
  <c r="Y4" i="1"/>
  <c r="AK3" i="1" s="1"/>
  <c r="X4" i="1"/>
  <c r="AJ3" i="1" s="1"/>
  <c r="W4" i="1"/>
  <c r="AI3" i="1" s="1"/>
  <c r="V4" i="1"/>
  <c r="AH3" i="1" s="1"/>
  <c r="U4" i="1"/>
  <c r="AG3" i="1" s="1"/>
  <c r="T4" i="1"/>
  <c r="AF3" i="1" s="1"/>
  <c r="S4" i="1"/>
  <c r="AE3" i="1" s="1"/>
  <c r="R4" i="1"/>
  <c r="AD3" i="1" s="1"/>
  <c r="Q4" i="1"/>
  <c r="AC3" i="1" s="1"/>
  <c r="P4" i="1"/>
  <c r="AB3" i="1" s="1"/>
  <c r="Q2" i="1"/>
  <c r="AC2" i="1" s="1"/>
  <c r="R2" i="1"/>
  <c r="AD2" i="1" s="1"/>
  <c r="S2" i="1"/>
  <c r="AE2" i="1" s="1"/>
  <c r="T2" i="1"/>
  <c r="AF2" i="1" s="1"/>
  <c r="U2" i="1"/>
  <c r="AG2" i="1" s="1"/>
  <c r="V2" i="1"/>
  <c r="AH2" i="1" s="1"/>
  <c r="W2" i="1"/>
  <c r="AI2" i="1" s="1"/>
  <c r="X2" i="1"/>
  <c r="AJ2" i="1" s="1"/>
  <c r="Y2" i="1"/>
  <c r="AK2" i="1" s="1"/>
  <c r="P2" i="1"/>
  <c r="AB2" i="1" s="1"/>
  <c r="R14" i="6" l="1"/>
  <c r="F22" i="6"/>
  <c r="B4" i="6"/>
  <c r="B8" i="6"/>
  <c r="B6" i="6"/>
  <c r="B16" i="6"/>
  <c r="B10" i="6"/>
  <c r="B12" i="6"/>
  <c r="B14" i="6"/>
  <c r="B18" i="6"/>
  <c r="B2" i="6"/>
  <c r="W12" i="5"/>
  <c r="P16" i="5"/>
  <c r="P10" i="5"/>
  <c r="P2" i="5"/>
  <c r="W6" i="5"/>
  <c r="U4" i="5"/>
  <c r="W4" i="5"/>
  <c r="U10" i="5"/>
  <c r="U2" i="5"/>
  <c r="W10" i="5"/>
  <c r="Q16" i="5"/>
  <c r="W2" i="5"/>
  <c r="Y4" i="5"/>
  <c r="Q8" i="5"/>
  <c r="Q14" i="5"/>
  <c r="U16" i="5"/>
  <c r="U12" i="5"/>
  <c r="P8" i="5"/>
  <c r="P14" i="5"/>
  <c r="X2" i="5"/>
  <c r="U8" i="5"/>
  <c r="Y10" i="5"/>
  <c r="U14" i="5"/>
  <c r="V16" i="5"/>
  <c r="X4" i="5"/>
  <c r="X10" i="5"/>
  <c r="P6" i="5"/>
  <c r="Y2" i="5"/>
  <c r="Q6" i="5"/>
  <c r="W8" i="5"/>
  <c r="P12" i="5"/>
  <c r="V14" i="5"/>
  <c r="W16" i="5"/>
  <c r="R12" i="5"/>
  <c r="R8" i="5"/>
  <c r="V10" i="5"/>
  <c r="V12" i="5"/>
  <c r="R4" i="5"/>
  <c r="V6" i="5"/>
  <c r="V8" i="5"/>
  <c r="V2" i="5"/>
  <c r="S16" i="5"/>
  <c r="S4" i="5"/>
  <c r="S8" i="5"/>
  <c r="S12" i="5"/>
  <c r="T4" i="5"/>
  <c r="T8" i="5"/>
  <c r="T16" i="5"/>
  <c r="R2" i="5"/>
  <c r="R6" i="5"/>
  <c r="R10" i="5"/>
  <c r="R14" i="5"/>
  <c r="T12" i="5"/>
  <c r="S2" i="5"/>
  <c r="S6" i="5"/>
  <c r="S10" i="5"/>
  <c r="S14" i="5"/>
  <c r="T2" i="5"/>
  <c r="T6" i="5"/>
  <c r="X8" i="5"/>
  <c r="T10" i="5"/>
  <c r="X12" i="5"/>
  <c r="T14" i="5"/>
  <c r="X16" i="5"/>
  <c r="B6" i="4"/>
  <c r="B14" i="4"/>
  <c r="B2" i="4"/>
  <c r="B10" i="4"/>
  <c r="B24" i="4"/>
  <c r="B26" i="4"/>
  <c r="A26" i="4" s="1"/>
  <c r="AF2" i="4"/>
  <c r="AF8" i="4"/>
  <c r="B8" i="4"/>
  <c r="B20" i="4"/>
  <c r="B28" i="4"/>
  <c r="B22" i="4"/>
  <c r="B30" i="4"/>
  <c r="AF4" i="4"/>
  <c r="B12" i="4"/>
  <c r="B16" i="4"/>
  <c r="AF3" i="4"/>
  <c r="B18" i="4"/>
  <c r="AF6" i="4"/>
  <c r="AD13" i="4"/>
  <c r="T8" i="2"/>
  <c r="S6" i="2"/>
  <c r="S8" i="2"/>
  <c r="T4" i="2"/>
  <c r="T12" i="2"/>
  <c r="T20" i="2"/>
  <c r="T6" i="2"/>
  <c r="U14" i="2"/>
  <c r="T22" i="2"/>
  <c r="T28" i="2"/>
  <c r="V6" i="2"/>
  <c r="Q16" i="2"/>
  <c r="Q24" i="2"/>
  <c r="T30" i="2"/>
  <c r="P10" i="2"/>
  <c r="Q8" i="2"/>
  <c r="P2" i="2"/>
  <c r="T2" i="2"/>
  <c r="R8" i="2"/>
  <c r="S16" i="2"/>
  <c r="S24" i="2"/>
  <c r="V10" i="2"/>
  <c r="U22" i="2"/>
  <c r="U4" i="2"/>
  <c r="V22" i="2"/>
  <c r="V30" i="2"/>
  <c r="V26" i="2"/>
  <c r="V12" i="2"/>
  <c r="V8" i="2"/>
  <c r="U16" i="2"/>
  <c r="R22" i="2"/>
  <c r="V28" i="2"/>
  <c r="V14" i="2"/>
  <c r="U30" i="2"/>
  <c r="V18" i="2"/>
  <c r="V4" i="2"/>
  <c r="U12" i="2"/>
  <c r="U20" i="2"/>
  <c r="P8" i="2"/>
  <c r="V2" i="2"/>
  <c r="U8" i="2"/>
  <c r="R14" i="2"/>
  <c r="V20" i="2"/>
  <c r="U28" i="2"/>
  <c r="P4" i="2"/>
  <c r="S14" i="2"/>
  <c r="S2" i="2"/>
  <c r="U6" i="2"/>
  <c r="X8" i="2"/>
  <c r="T14" i="2"/>
  <c r="S22" i="2"/>
  <c r="U24" i="2"/>
  <c r="S30" i="2"/>
  <c r="P12" i="2"/>
  <c r="P16" i="2"/>
  <c r="P24" i="2"/>
  <c r="B24" i="2" s="1"/>
  <c r="W18" i="2"/>
  <c r="W26" i="2"/>
  <c r="P18" i="2"/>
  <c r="W4" i="2"/>
  <c r="P28" i="2"/>
  <c r="W6" i="2"/>
  <c r="X30" i="2"/>
  <c r="W10" i="2"/>
  <c r="X10" i="2"/>
  <c r="X18" i="2"/>
  <c r="P26" i="2"/>
  <c r="X26" i="2"/>
  <c r="Y10" i="2"/>
  <c r="Y26" i="2"/>
  <c r="R10" i="2"/>
  <c r="P20" i="2"/>
  <c r="R26" i="2"/>
  <c r="W30" i="2"/>
  <c r="W2" i="2"/>
  <c r="Y4" i="2"/>
  <c r="S10" i="2"/>
  <c r="S18" i="2"/>
  <c r="R4" i="2"/>
  <c r="X6" i="2"/>
  <c r="R12" i="2"/>
  <c r="Y30" i="2"/>
  <c r="Q2" i="2"/>
  <c r="Q10" i="2"/>
  <c r="W12" i="2"/>
  <c r="Q18" i="2"/>
  <c r="Y18" i="2"/>
  <c r="W20" i="2"/>
  <c r="Q26" i="2"/>
  <c r="W28" i="2"/>
  <c r="X2" i="2"/>
  <c r="X4" i="2"/>
  <c r="X12" i="2"/>
  <c r="R18" i="2"/>
  <c r="X20" i="2"/>
  <c r="X28" i="2"/>
  <c r="Q4" i="2"/>
  <c r="Q12" i="2"/>
  <c r="Y12" i="2"/>
  <c r="W14" i="2"/>
  <c r="Q20" i="2"/>
  <c r="Y20" i="2"/>
  <c r="W22" i="2"/>
  <c r="S26" i="2"/>
  <c r="Q28" i="2"/>
  <c r="Y28" i="2"/>
  <c r="P6" i="2"/>
  <c r="T10" i="2"/>
  <c r="P14" i="2"/>
  <c r="X14" i="2"/>
  <c r="T18" i="2"/>
  <c r="R20" i="2"/>
  <c r="P22" i="2"/>
  <c r="R28" i="2"/>
  <c r="Q30" i="2"/>
  <c r="U2" i="2"/>
  <c r="S4" i="2"/>
  <c r="Q6" i="2"/>
  <c r="Y6" i="2"/>
  <c r="W8" i="2"/>
  <c r="U10" i="2"/>
  <c r="S12" i="2"/>
  <c r="Q14" i="2"/>
  <c r="Y14" i="2"/>
  <c r="W16" i="2"/>
  <c r="U18" i="2"/>
  <c r="S20" i="2"/>
  <c r="Y22" i="2"/>
  <c r="B12" i="1"/>
  <c r="B30" i="1"/>
  <c r="B16" i="1"/>
  <c r="B6" i="1"/>
  <c r="B28" i="1"/>
  <c r="B14" i="1"/>
  <c r="B22" i="1"/>
  <c r="B2" i="1"/>
  <c r="B24" i="1"/>
  <c r="B8" i="1"/>
  <c r="B18" i="1"/>
  <c r="B10" i="1"/>
  <c r="B26" i="1"/>
  <c r="B4" i="1"/>
  <c r="B20" i="1"/>
  <c r="A2" i="6" l="1"/>
  <c r="A12" i="6"/>
  <c r="A4" i="6"/>
  <c r="A18" i="6"/>
  <c r="A14" i="6"/>
  <c r="A6" i="6"/>
  <c r="A16" i="6"/>
  <c r="A8" i="6"/>
  <c r="A10" i="6"/>
  <c r="B4" i="5"/>
  <c r="B8" i="5"/>
  <c r="B16" i="5"/>
  <c r="B12" i="5"/>
  <c r="B14" i="5"/>
  <c r="B10" i="5"/>
  <c r="B6" i="5"/>
  <c r="B2" i="5"/>
  <c r="A24" i="4"/>
  <c r="A14" i="4"/>
  <c r="A30" i="4"/>
  <c r="A12" i="4"/>
  <c r="A10" i="4"/>
  <c r="A18" i="4"/>
  <c r="A20" i="4"/>
  <c r="A28" i="4"/>
  <c r="A8" i="4"/>
  <c r="A4" i="4"/>
  <c r="A22" i="4"/>
  <c r="A2" i="4"/>
  <c r="A16" i="4"/>
  <c r="A6" i="4"/>
  <c r="B16" i="2"/>
  <c r="B8" i="2"/>
  <c r="B22" i="2"/>
  <c r="B12" i="2"/>
  <c r="B30" i="2"/>
  <c r="B10" i="2"/>
  <c r="B6" i="2"/>
  <c r="B14" i="2"/>
  <c r="B4" i="2"/>
  <c r="B20" i="2"/>
  <c r="B28" i="2"/>
  <c r="B26" i="2"/>
  <c r="B18" i="2"/>
  <c r="B2" i="2"/>
  <c r="A30" i="1"/>
  <c r="A14" i="1"/>
  <c r="A6" i="1"/>
  <c r="A4" i="1"/>
  <c r="A2" i="1"/>
  <c r="A28" i="1"/>
  <c r="A16" i="1"/>
  <c r="A10" i="1"/>
  <c r="A24" i="1"/>
  <c r="A8" i="1"/>
  <c r="A22" i="1"/>
  <c r="A20" i="1"/>
  <c r="A18" i="1"/>
  <c r="A12" i="1"/>
  <c r="A26" i="1"/>
  <c r="A2" i="5" l="1"/>
  <c r="A8" i="5"/>
  <c r="A12" i="5"/>
  <c r="A10" i="5"/>
  <c r="A6" i="5"/>
  <c r="A16" i="5"/>
  <c r="A14" i="5"/>
  <c r="A4" i="5"/>
  <c r="A6" i="2"/>
  <c r="A18" i="2"/>
  <c r="A20" i="2"/>
  <c r="A4" i="2"/>
  <c r="A28" i="2"/>
  <c r="A14" i="2"/>
  <c r="A16" i="2"/>
  <c r="A22" i="2"/>
  <c r="A26" i="2"/>
  <c r="A8" i="2"/>
  <c r="A10" i="2"/>
  <c r="A30" i="2"/>
  <c r="A12" i="2"/>
  <c r="A2" i="2"/>
  <c r="A24" i="2"/>
</calcChain>
</file>

<file path=xl/sharedStrings.xml><?xml version="1.0" encoding="utf-8"?>
<sst xmlns="http://schemas.openxmlformats.org/spreadsheetml/2006/main" count="203" uniqueCount="33">
  <si>
    <t>Caden</t>
  </si>
  <si>
    <t>Logan</t>
  </si>
  <si>
    <t>Kaitlyn</t>
  </si>
  <si>
    <t>Grant</t>
  </si>
  <si>
    <t>Rachel</t>
  </si>
  <si>
    <t>Annie</t>
  </si>
  <si>
    <t>Jeff</t>
  </si>
  <si>
    <t>Caelyn</t>
  </si>
  <si>
    <t>Paul</t>
  </si>
  <si>
    <t>Morgan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</si>
  <si>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</si>
  <si>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</si>
  <si>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</si>
  <si>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</si>
  <si>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</si>
  <si>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</si>
  <si>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</si>
  <si>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</si>
  <si>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</si>
  <si>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</si>
  <si>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Caden C</t>
  </si>
  <si>
    <t>Chelsea</t>
  </si>
  <si>
    <t>Kendall</t>
  </si>
  <si>
    <t>Kamber</t>
  </si>
  <si>
    <t>Rank</t>
  </si>
  <si>
    <t>Score</t>
  </si>
  <si>
    <t>Dallyn</t>
  </si>
  <si>
    <t>Bets</t>
  </si>
  <si>
    <t>Round</t>
  </si>
  <si>
    <t>Name</t>
  </si>
  <si>
    <t>Cadenmas</t>
  </si>
  <si>
    <t>Brooklyn</t>
  </si>
  <si>
    <t>Josh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</si>
</sst>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POINTS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'2.16.25'!$O$2</c:f>
              <c:strCache>
                <c:ptCount val="1"/>
                <c:pt idx="0">
                  <c:v>Caden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'2.16.25'!$P$2:$Y$2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4-924D-B0A5-5AC6D7FC8DA5}"/>
            </c:ext>
          </c:extLst>
        </c:ser>
        <c:ser>
          <c:idx val="1"/>
          <c:order val="1"/>
          <c:tx>
            <c:strRef>
              <c:f>'2.16.25'!$O$3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'2.16.25'!$P$3:$Y$3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4-924D-B0A5-5AC6D7FC8DA5}"/>
            </c:ext>
          </c:extLst>
        </c:ser>
        <c:ser>
          <c:idx val="2"/>
          <c:order val="2"/>
          <c:tx>
            <c:strRef>
              <c:f>'2.16.25'!$O$4</c:f>
              <c:strCache>
                <c:ptCount val="1"/>
                <c:pt idx="0">
                  <c:v>Logan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'2.16.25'!$P$4:$Y$4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84-924D-B0A5-5AC6D7FC8DA5}"/>
            </c:ext>
          </c:extLst>
        </c:ser>
        <c:ser>
          <c:idx val="3"/>
          <c:order val="3"/>
          <c:tx>
            <c:strRef>
              <c:f>'2.16.25'!$O$5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'2.16.25'!$P$5:$Y$5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84-924D-B0A5-5AC6D7FC8DA5}"/>
            </c:ext>
          </c:extLst>
        </c:ser>
        <c:ser>
          <c:idx val="4"/>
          <c:order val="4"/>
          <c:tx>
            <c:strRef>
              <c:f>'2.16.25'!$O$6</c:f>
              <c:strCache>
                <c:ptCount val="1"/>
                <c:pt idx="0">
                  <c:v>Dallyn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'2.16.25'!$P$6:$Y$6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84-924D-B0A5-5AC6D7FC8DA5}"/>
            </c:ext>
          </c:extLst>
        </c:ser>
        <c:ser>
          <c:idx val="5"/>
          <c:order val="5"/>
          <c:tx>
            <c:strRef>
              <c:f>'2.16.25'!$O$7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'2.16.25'!$P$7:$Y$7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84-924D-B0A5-5AC6D7FC8DA5}"/>
            </c:ext>
          </c:extLst>
        </c:ser>
        <c:ser>
          <c:idx val="6"/>
          <c:order val="6"/>
          <c:tx>
            <c:strRef>
              <c:f>'2.16.25'!$O$8</c:f>
              <c:strCache>
                <c:ptCount val="1"/>
                <c:pt idx="0">
                  <c:v>Kendall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'2.16.25'!$P$8:$Y$8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84-924D-B0A5-5AC6D7FC8DA5}"/>
            </c:ext>
          </c:extLst>
        </c:ser>
        <c:ser>
          <c:idx val="7"/>
          <c:order val="7"/>
          <c:tx>
            <c:strRef>
              <c:f>'2.16.25'!$O$9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'2.16.25'!$P$9:$Y$9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84-924D-B0A5-5AC6D7FC8DA5}"/>
            </c:ext>
          </c:extLst>
        </c:ser>
        <c:ser>
          <c:idx val="8"/>
          <c:order val="8"/>
          <c:tx>
            <c:strRef>
              <c:f>'2.16.25'!$O$10</c:f>
              <c:strCache>
                <c:ptCount val="1"/>
                <c:pt idx="0">
                  <c:v>Kaitlyn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'2.16.25'!$P$10:$Y$10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84-924D-B0A5-5AC6D7FC8DA5}"/>
            </c:ext>
          </c:extLst>
        </c:ser>
        <c:ser>
          <c:idx val="9"/>
          <c:order val="9"/>
          <c:tx>
            <c:strRef>
              <c:f>'2.16.25'!$O$11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'2.16.25'!$P$11:$Y$11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84-924D-B0A5-5AC6D7FC8DA5}"/>
            </c:ext>
          </c:extLst>
        </c:ser>
        <c:ser>
          <c:idx val="10"/>
          <c:order val="10"/>
          <c:tx>
            <c:strRef>
              <c:f>'2.16.25'!$O$12</c:f>
              <c:strCache>
                <c:ptCount val="1"/>
                <c:pt idx="0">
                  <c:v>Grant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'2.16.25'!$P$12:$Y$12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84-924D-B0A5-5AC6D7FC8DA5}"/>
            </c:ext>
          </c:extLst>
        </c:ser>
        <c:ser>
          <c:idx val="11"/>
          <c:order val="11"/>
          <c:tx>
            <c:strRef>
              <c:f>'2.16.25'!$O$13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'2.16.25'!$P$13:$Y$13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84-924D-B0A5-5AC6D7FC8DA5}"/>
            </c:ext>
          </c:extLst>
        </c:ser>
        <c:ser>
          <c:idx val="12"/>
          <c:order val="12"/>
          <c:tx>
            <c:strRef>
              <c:f>'2.16.25'!$O$14</c:f>
              <c:strCache>
                <c:ptCount val="1"/>
                <c:pt idx="0">
                  <c:v>Caden C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'2.16.25'!$P$14:$Y$14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84-924D-B0A5-5AC6D7FC8DA5}"/>
            </c:ext>
          </c:extLst>
        </c:ser>
        <c:ser>
          <c:idx val="13"/>
          <c:order val="13"/>
          <c:tx>
            <c:strRef>
              <c:f>'2.16.25'!$O$15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'2.16.25'!$P$15:$Y$15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84-924D-B0A5-5AC6D7FC8DA5}"/>
            </c:ext>
          </c:extLst>
        </c:ser>
        <c:ser>
          <c:idx val="14"/>
          <c:order val="14"/>
          <c:tx>
            <c:strRef>
              <c:f>'2.16.25'!$O$16</c:f>
              <c:strCache>
                <c:ptCount val="1"/>
                <c:pt idx="0">
                  <c:v>Kamber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'2.16.25'!$P$16:$Y$16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84-924D-B0A5-5AC6D7FC8DA5}"/>
            </c:ext>
          </c:extLst>
        </c:ser>
        <c:ser>
          <c:idx val="15"/>
          <c:order val="15"/>
          <c:tx>
            <c:strRef>
              <c:f>'2.16.25'!$O$17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'2.16.25'!$P$17:$Y$17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F84-924D-B0A5-5AC6D7FC8DA5}"/>
            </c:ext>
          </c:extLst>
        </c:ser>
        <c:ser>
          <c:idx val="16"/>
          <c:order val="16"/>
          <c:tx>
            <c:strRef>
              <c:f>'2.16.25'!$O$18</c:f>
              <c:strCache>
                <c:ptCount val="1"/>
                <c:pt idx="0">
                  <c:v>Rachel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'2.16.25'!$P$18:$Y$18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F84-924D-B0A5-5AC6D7FC8DA5}"/>
            </c:ext>
          </c:extLst>
        </c:ser>
        <c:ser>
          <c:idx val="17"/>
          <c:order val="17"/>
          <c:tx>
            <c:strRef>
              <c:f>'2.16.25'!$O$19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'2.16.25'!$P$19:$Y$19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F84-924D-B0A5-5AC6D7FC8DA5}"/>
            </c:ext>
          </c:extLst>
        </c:ser>
        <c:ser>
          <c:idx val="18"/>
          <c:order val="18"/>
          <c:tx>
            <c:strRef>
              <c:f>'2.16.25'!$O$20</c:f>
              <c:strCache>
                <c:ptCount val="1"/>
                <c:pt idx="0">
                  <c:v>Annie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'2.16.25'!$P$20:$Y$20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84-924D-B0A5-5AC6D7FC8DA5}"/>
            </c:ext>
          </c:extLst>
        </c:ser>
        <c:ser>
          <c:idx val="19"/>
          <c:order val="19"/>
          <c:tx>
            <c:strRef>
              <c:f>'2.16.25'!$O$21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'2.16.25'!$P$21:$Y$21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F84-924D-B0A5-5AC6D7FC8DA5}"/>
            </c:ext>
          </c:extLst>
        </c:ser>
        <c:ser>
          <c:idx val="20"/>
          <c:order val="20"/>
          <c:tx>
            <c:strRef>
              <c:f>'2.16.25'!$O$22</c:f>
              <c:strCache>
                <c:ptCount val="1"/>
                <c:pt idx="0">
                  <c:v>Chelsea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'2.16.25'!$P$22:$Y$22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F84-924D-B0A5-5AC6D7FC8DA5}"/>
            </c:ext>
          </c:extLst>
        </c:ser>
        <c:ser>
          <c:idx val="21"/>
          <c:order val="21"/>
          <c:tx>
            <c:strRef>
              <c:f>'2.16.25'!$O$23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'2.16.25'!$P$23:$Y$23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F84-924D-B0A5-5AC6D7FC8DA5}"/>
            </c:ext>
          </c:extLst>
        </c:ser>
        <c:ser>
          <c:idx val="22"/>
          <c:order val="22"/>
          <c:tx>
            <c:strRef>
              <c:f>'2.16.25'!$O$24</c:f>
              <c:strCache>
                <c:ptCount val="1"/>
                <c:pt idx="0">
                  <c:v>Jeff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'2.16.25'!$P$24:$Y$24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F84-924D-B0A5-5AC6D7FC8DA5}"/>
            </c:ext>
          </c:extLst>
        </c:ser>
        <c:ser>
          <c:idx val="23"/>
          <c:order val="23"/>
          <c:tx>
            <c:strRef>
              <c:f>'2.16.25'!$O$25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'2.16.25'!$P$25:$Y$25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F84-924D-B0A5-5AC6D7FC8DA5}"/>
            </c:ext>
          </c:extLst>
        </c:ser>
        <c:ser>
          <c:idx val="24"/>
          <c:order val="24"/>
          <c:tx>
            <c:strRef>
              <c:f>'2.16.25'!$O$26</c:f>
              <c:strCache>
                <c:ptCount val="1"/>
                <c:pt idx="0">
                  <c:v>Caelyn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'2.16.25'!$P$26:$Y$26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F84-924D-B0A5-5AC6D7FC8DA5}"/>
            </c:ext>
          </c:extLst>
        </c:ser>
        <c:ser>
          <c:idx val="25"/>
          <c:order val="25"/>
          <c:tx>
            <c:strRef>
              <c:f>'2.16.25'!$O$27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'2.16.25'!$P$27:$Y$27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F84-924D-B0A5-5AC6D7FC8DA5}"/>
            </c:ext>
          </c:extLst>
        </c:ser>
        <c:ser>
          <c:idx val="26"/>
          <c:order val="26"/>
          <c:tx>
            <c:strRef>
              <c:f>'2.16.25'!$O$28</c:f>
              <c:strCache>
                <c:ptCount val="1"/>
                <c:pt idx="0">
                  <c:v>Paul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'2.16.25'!$P$28:$Y$28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84-924D-B0A5-5AC6D7FC8DA5}"/>
            </c:ext>
          </c:extLst>
        </c:ser>
        <c:ser>
          <c:idx val="27"/>
          <c:order val="27"/>
          <c:tx>
            <c:strRef>
              <c:f>'2.16.25'!$O$29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'2.16.25'!$P$29:$Y$29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F84-924D-B0A5-5AC6D7FC8DA5}"/>
            </c:ext>
          </c:extLst>
        </c:ser>
        <c:ser>
          <c:idx val="28"/>
          <c:order val="28"/>
          <c:tx>
            <c:strRef>
              <c:f>'2.16.25'!$O$30</c:f>
              <c:strCache>
                <c:ptCount val="1"/>
                <c:pt idx="0">
                  <c:v>Morgan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'2.16.25'!$P$30:$Y$30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84-924D-B0A5-5AC6D7FC8DA5}"/>
            </c:ext>
          </c:extLst>
        </c:ser>
        <c:ser>
          <c:idx val="29"/>
          <c:order val="29"/>
          <c:tx>
            <c:strRef>
              <c:f>'2.16.25'!$O$31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'2.16.25'!$P$1:$Y$1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'2.16.25'!$P$31:$Y$31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F84-924D-B0A5-5AC6D7FC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979503"/>
        <c:axId val="1750966255"/>
      </c:lineChart>
      <c:catAx>
        <c:axId val="175097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966255"/>
        <c:crosses val="autoZero"/>
        <c:auto val="1"/>
        <c:lblAlgn val="ctr"/>
        <c:lblOffset val="100"/>
        <c:noMultiLvlLbl val="0"/>
      </c:catAx>
      <c:valAx>
        <c:axId val="175096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97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1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7"/>
        <c:delete val="1"/>
      </c:legendEntry>
      <c:legendEntry>
        <c:idx val="19"/>
        <c:delete val="1"/>
      </c:legendEntry>
      <c:legendEntry>
        <c:idx val="21"/>
        <c:delete val="1"/>
      </c:legendEntry>
      <c:legendEntry>
        <c:idx val="23"/>
        <c:delete val="1"/>
      </c:legendEntry>
      <c:legendEntry>
        <c:idx val="25"/>
        <c:delete val="1"/>
      </c:legendEntry>
      <c:legendEntry>
        <c:idx val="27"/>
        <c:delete val="1"/>
      </c:legendEntry>
      <c:legendEntry>
        <c:idx val="2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POINTS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'2.23.25'!$O$2</c:f>
              <c:strCache>
                <c:ptCount val="1"/>
                <c:pt idx="0">
                  <c:v>Caelyn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'2.23.25'!$P$2:$Y$2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-60</c:v>
                </c:pt>
                <c:pt idx="6">
                  <c:v>0</c:v>
                </c:pt>
                <c:pt idx="7">
                  <c:v>-80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D1-1945-88E5-87E54B248210}"/>
            </c:ext>
          </c:extLst>
        </c:ser>
        <c:ser>
          <c:idx val="1"/>
          <c:order val="1"/>
          <c:tx>
            <c:strRef>
              <c:f>'2.23.25'!$O$3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'2.23.25'!$P$3:$Y$3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D1-1945-88E5-87E54B248210}"/>
            </c:ext>
          </c:extLst>
        </c:ser>
        <c:ser>
          <c:idx val="2"/>
          <c:order val="2"/>
          <c:tx>
            <c:strRef>
              <c:f>'2.23.25'!$O$4</c:f>
              <c:strCache>
                <c:ptCount val="1"/>
                <c:pt idx="0">
                  <c:v>Jeff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'2.23.25'!$P$4:$Y$4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D1-1945-88E5-87E54B248210}"/>
            </c:ext>
          </c:extLst>
        </c:ser>
        <c:ser>
          <c:idx val="3"/>
          <c:order val="3"/>
          <c:tx>
            <c:strRef>
              <c:f>'2.23.25'!$O$5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'2.23.25'!$P$5:$Y$5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D1-1945-88E5-87E54B248210}"/>
            </c:ext>
          </c:extLst>
        </c:ser>
        <c:ser>
          <c:idx val="4"/>
          <c:order val="4"/>
          <c:tx>
            <c:strRef>
              <c:f>'2.23.25'!$O$6</c:f>
              <c:strCache>
                <c:ptCount val="1"/>
                <c:pt idx="0">
                  <c:v>Brooklyn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'2.23.25'!$P$6:$Y$6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-120</c:v>
                </c:pt>
                <c:pt idx="4">
                  <c:v>0</c:v>
                </c:pt>
                <c:pt idx="5">
                  <c:v>-60</c:v>
                </c:pt>
                <c:pt idx="6">
                  <c:v>0</c:v>
                </c:pt>
                <c:pt idx="7">
                  <c:v>-80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D1-1945-88E5-87E54B248210}"/>
            </c:ext>
          </c:extLst>
        </c:ser>
        <c:ser>
          <c:idx val="5"/>
          <c:order val="5"/>
          <c:tx>
            <c:strRef>
              <c:f>'2.23.25'!$O$7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'2.23.25'!$P$7:$Y$7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D1-1945-88E5-87E54B248210}"/>
            </c:ext>
          </c:extLst>
        </c:ser>
        <c:ser>
          <c:idx val="6"/>
          <c:order val="6"/>
          <c:tx>
            <c:strRef>
              <c:f>'2.23.25'!$O$8</c:f>
              <c:strCache>
                <c:ptCount val="1"/>
                <c:pt idx="0">
                  <c:v>Rachel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'2.23.25'!$P$8:$Y$8</c:f>
              <c:numCache>
                <c:formatCode>General</c:formatCode>
                <c:ptCount val="10"/>
                <c:pt idx="0">
                  <c:v>0</c:v>
                </c:pt>
                <c:pt idx="1">
                  <c:v>-40</c:v>
                </c:pt>
                <c:pt idx="2">
                  <c:v>0</c:v>
                </c:pt>
                <c:pt idx="3">
                  <c:v>-40</c:v>
                </c:pt>
                <c:pt idx="4">
                  <c:v>0</c:v>
                </c:pt>
                <c:pt idx="5">
                  <c:v>-120</c:v>
                </c:pt>
                <c:pt idx="6">
                  <c:v>0</c:v>
                </c:pt>
                <c:pt idx="7">
                  <c:v>0</c:v>
                </c:pt>
                <c:pt idx="8">
                  <c:v>-180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D1-1945-88E5-87E54B248210}"/>
            </c:ext>
          </c:extLst>
        </c:ser>
        <c:ser>
          <c:idx val="7"/>
          <c:order val="7"/>
          <c:tx>
            <c:strRef>
              <c:f>'2.23.25'!$O$9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'2.23.25'!$P$9:$Y$9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D1-1945-88E5-87E54B248210}"/>
            </c:ext>
          </c:extLst>
        </c:ser>
        <c:ser>
          <c:idx val="8"/>
          <c:order val="8"/>
          <c:tx>
            <c:strRef>
              <c:f>'2.23.25'!$O$10</c:f>
              <c:strCache>
                <c:ptCount val="1"/>
                <c:pt idx="0">
                  <c:v>Paul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'2.23.25'!$P$10:$Y$10</c:f>
              <c:numCache>
                <c:formatCode>General</c:formatCode>
                <c:ptCount val="10"/>
                <c:pt idx="0">
                  <c:v>0</c:v>
                </c:pt>
                <c:pt idx="1">
                  <c:v>-20</c:v>
                </c:pt>
                <c:pt idx="2">
                  <c:v>0</c:v>
                </c:pt>
                <c:pt idx="3">
                  <c:v>-80</c:v>
                </c:pt>
                <c:pt idx="4">
                  <c:v>0</c:v>
                </c:pt>
                <c:pt idx="5">
                  <c:v>-120</c:v>
                </c:pt>
                <c:pt idx="6">
                  <c:v>0</c:v>
                </c:pt>
                <c:pt idx="7">
                  <c:v>-160</c:v>
                </c:pt>
                <c:pt idx="8">
                  <c:v>0</c:v>
                </c:pt>
                <c:pt idx="9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D1-1945-88E5-87E54B248210}"/>
            </c:ext>
          </c:extLst>
        </c:ser>
        <c:ser>
          <c:idx val="9"/>
          <c:order val="9"/>
          <c:tx>
            <c:strRef>
              <c:f>'2.23.25'!$O$11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'2.23.25'!$P$11:$Y$11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D1-1945-88E5-87E54B248210}"/>
            </c:ext>
          </c:extLst>
        </c:ser>
        <c:ser>
          <c:idx val="10"/>
          <c:order val="10"/>
          <c:tx>
            <c:strRef>
              <c:f>'2.23.25'!$O$12</c:f>
              <c:strCache>
                <c:ptCount val="1"/>
                <c:pt idx="0">
                  <c:v>Morgan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'2.23.25'!$P$12:$Y$12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D1-1945-88E5-87E54B248210}"/>
            </c:ext>
          </c:extLst>
        </c:ser>
        <c:ser>
          <c:idx val="11"/>
          <c:order val="11"/>
          <c:tx>
            <c:strRef>
              <c:f>'2.23.25'!$O$13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'2.23.25'!$P$13:$Y$13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D1-1945-88E5-87E54B248210}"/>
            </c:ext>
          </c:extLst>
        </c:ser>
        <c:ser>
          <c:idx val="12"/>
          <c:order val="12"/>
          <c:tx>
            <c:strRef>
              <c:f>'2.23.25'!$O$14</c:f>
              <c:strCache>
                <c:ptCount val="1"/>
                <c:pt idx="0">
                  <c:v>Caden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'2.23.25'!$P$14:$Y$14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-40</c:v>
                </c:pt>
                <c:pt idx="4">
                  <c:v>0</c:v>
                </c:pt>
                <c:pt idx="5">
                  <c:v>120</c:v>
                </c:pt>
                <c:pt idx="6">
                  <c:v>0</c:v>
                </c:pt>
                <c:pt idx="7">
                  <c:v>80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D1-1945-88E5-87E54B248210}"/>
            </c:ext>
          </c:extLst>
        </c:ser>
        <c:ser>
          <c:idx val="13"/>
          <c:order val="13"/>
          <c:tx>
            <c:strRef>
              <c:f>'2.23.25'!$O$15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'2.23.25'!$P$15:$Y$15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FD1-1945-88E5-87E54B248210}"/>
            </c:ext>
          </c:extLst>
        </c:ser>
        <c:ser>
          <c:idx val="14"/>
          <c:order val="14"/>
          <c:tx>
            <c:strRef>
              <c:f>'2.23.25'!$O$16</c:f>
              <c:strCache>
                <c:ptCount val="1"/>
                <c:pt idx="0">
                  <c:v>Annie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'2.23.25'!$P$16:$Y$16</c:f>
              <c:numCache>
                <c:formatCode>General</c:formatCode>
                <c:ptCount val="10"/>
                <c:pt idx="0">
                  <c:v>0</c:v>
                </c:pt>
                <c:pt idx="1">
                  <c:v>-20</c:v>
                </c:pt>
                <c:pt idx="2">
                  <c:v>0</c:v>
                </c:pt>
                <c:pt idx="3">
                  <c:v>80</c:v>
                </c:pt>
                <c:pt idx="4">
                  <c:v>0</c:v>
                </c:pt>
                <c:pt idx="5">
                  <c:v>-60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D1-1945-88E5-87E54B248210}"/>
            </c:ext>
          </c:extLst>
        </c:ser>
        <c:ser>
          <c:idx val="15"/>
          <c:order val="15"/>
          <c:tx>
            <c:strRef>
              <c:f>'2.23.25'!$O$17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'2.23.25'!$P$17:$Y$17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FD1-1945-88E5-87E54B248210}"/>
            </c:ext>
          </c:extLst>
        </c:ser>
        <c:ser>
          <c:idx val="16"/>
          <c:order val="16"/>
          <c:tx>
            <c:strRef>
              <c:f>'2.23.25'!$O$18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'2.23.25'!$P$18:$Y$18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D1-1945-88E5-87E54B248210}"/>
            </c:ext>
          </c:extLst>
        </c:ser>
        <c:ser>
          <c:idx val="17"/>
          <c:order val="17"/>
          <c:tx>
            <c:strRef>
              <c:f>'2.23.25'!$O$19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'2.23.25'!$P$19:$Y$19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D1-1945-88E5-87E54B248210}"/>
            </c:ext>
          </c:extLst>
        </c:ser>
        <c:ser>
          <c:idx val="18"/>
          <c:order val="18"/>
          <c:tx>
            <c:strRef>
              <c:f>'2.23.25'!$O$20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'2.23.25'!$P$20:$Y$20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D1-1945-88E5-87E54B248210}"/>
            </c:ext>
          </c:extLst>
        </c:ser>
        <c:ser>
          <c:idx val="19"/>
          <c:order val="19"/>
          <c:tx>
            <c:strRef>
              <c:f>'2.23.25'!$O$21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'2.23.25'!$P$21:$Y$21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FD1-1945-88E5-87E54B248210}"/>
            </c:ext>
          </c:extLst>
        </c:ser>
        <c:ser>
          <c:idx val="20"/>
          <c:order val="20"/>
          <c:tx>
            <c:strRef>
              <c:f>'2.23.25'!$O$22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'2.23.25'!$P$22:$Y$22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D1-1945-88E5-87E54B248210}"/>
            </c:ext>
          </c:extLst>
        </c:ser>
        <c:ser>
          <c:idx val="21"/>
          <c:order val="21"/>
          <c:tx>
            <c:strRef>
              <c:f>'2.23.25'!$O$23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'2.23.25'!$P$23:$Y$23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FD1-1945-88E5-87E54B248210}"/>
            </c:ext>
          </c:extLst>
        </c:ser>
        <c:ser>
          <c:idx val="22"/>
          <c:order val="22"/>
          <c:tx>
            <c:strRef>
              <c:f>'2.23.25'!$O$24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'2.23.25'!$P$24:$Y$24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D1-1945-88E5-87E54B248210}"/>
            </c:ext>
          </c:extLst>
        </c:ser>
        <c:ser>
          <c:idx val="23"/>
          <c:order val="23"/>
          <c:tx>
            <c:strRef>
              <c:f>'2.23.25'!$O$25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'2.23.25'!$P$25:$Y$25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FD1-1945-88E5-87E54B248210}"/>
            </c:ext>
          </c:extLst>
        </c:ser>
        <c:ser>
          <c:idx val="24"/>
          <c:order val="24"/>
          <c:tx>
            <c:strRef>
              <c:f>'2.23.25'!$O$26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'2.23.25'!$P$26:$Y$26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D1-1945-88E5-87E54B248210}"/>
            </c:ext>
          </c:extLst>
        </c:ser>
        <c:ser>
          <c:idx val="25"/>
          <c:order val="25"/>
          <c:tx>
            <c:strRef>
              <c:f>'2.23.25'!$O$27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'2.23.25'!$P$27:$Y$27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FD1-1945-88E5-87E54B248210}"/>
            </c:ext>
          </c:extLst>
        </c:ser>
        <c:ser>
          <c:idx val="26"/>
          <c:order val="26"/>
          <c:tx>
            <c:strRef>
              <c:f>'2.23.25'!$O$28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'2.23.25'!$P$28:$Y$28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D1-1945-88E5-87E54B248210}"/>
            </c:ext>
          </c:extLst>
        </c:ser>
        <c:ser>
          <c:idx val="27"/>
          <c:order val="27"/>
          <c:tx>
            <c:strRef>
              <c:f>'2.23.25'!$O$29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'2.23.25'!$P$29:$Y$29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FD1-1945-88E5-87E54B248210}"/>
            </c:ext>
          </c:extLst>
        </c:ser>
        <c:ser>
          <c:idx val="28"/>
          <c:order val="28"/>
          <c:tx>
            <c:strRef>
              <c:f>'2.23.25'!$O$30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'2.23.25'!$P$30:$Y$30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D1-1945-88E5-87E54B248210}"/>
            </c:ext>
          </c:extLst>
        </c:ser>
        <c:ser>
          <c:idx val="29"/>
          <c:order val="29"/>
          <c:tx>
            <c:strRef>
              <c:f>'2.23.25'!$O$31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'2.23.25'!$P$1:$Y$1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'2.23.25'!$P$31:$Y$31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FD1-1945-88E5-87E54B248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979503"/>
        <c:axId val="1750966255"/>
      </c:lineChart>
      <c:catAx>
        <c:axId val="175097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966255"/>
        <c:crosses val="autoZero"/>
        <c:auto val="1"/>
        <c:lblAlgn val="ctr"/>
        <c:lblOffset val="100"/>
        <c:noMultiLvlLbl val="0"/>
      </c:catAx>
      <c:valAx>
        <c:axId val="175096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97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1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7"/>
        <c:delete val="1"/>
      </c:legendEntry>
      <c:legendEntry>
        <c:idx val="19"/>
        <c:delete val="1"/>
      </c:legendEntry>
      <c:legendEntry>
        <c:idx val="21"/>
        <c:delete val="1"/>
      </c:legendEntry>
      <c:legendEntry>
        <c:idx val="23"/>
        <c:delete val="1"/>
      </c:legendEntry>
      <c:legendEntry>
        <c:idx val="25"/>
        <c:delete val="1"/>
      </c:legendEntry>
      <c:legendEntry>
        <c:idx val="27"/>
        <c:delete val="1"/>
      </c:legendEntry>
      <c:legendEntry>
        <c:idx val="2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35</xdr:row>
      <xdr:rowOff>57150</xdr:rowOff>
    </xdr:from>
    <xdr:to>
      <xdr:col>15</xdr:col>
      <xdr:colOff>584200</xdr:colOff>
      <xdr:row>54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BF1B41-ED79-7228-0028-CC1741759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35</xdr:row>
      <xdr:rowOff>57150</xdr:rowOff>
    </xdr:from>
    <xdr:to>
      <xdr:col>15</xdr:col>
      <xdr:colOff>584200</xdr:colOff>
      <xdr:row>54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44CE18-015E-AA4D-9148-1F216197C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1EA3F7-B482-2345-98C9-72EB46315894}" name="Table22" displayName="Table22" ref="D1:M32" totalsRowCount="1">
  <autoFilter ref="D1:M31" xr:uid="{081EA3F7-B482-2345-98C9-72EB46315894}"/>
  <tableColumns count="10">
    <tableColumn id="1" xr3:uid="{3790B0F2-194D-4347-8B27-C8944CC5D712}" name="R1"/>
    <tableColumn id="2" xr3:uid="{F4DCA081-4E18-EF45-8E65-34FD590FAC75}" name="R2"/>
    <tableColumn id="3" xr3:uid="{1EF8E35C-C4AD-A947-B2FD-CF356343EBB2}" name="R3"/>
    <tableColumn id="4" xr3:uid="{2A80BD0E-8314-2B4F-87F2-3A260FF74394}" name="R4"/>
    <tableColumn id="5" xr3:uid="{2F0AE5A5-23D5-BD41-B40A-78DF6F3C4A4B}" name="R5"/>
    <tableColumn id="6" xr3:uid="{4C712C4E-A443-B245-83CC-23E1DABE56A6}" name="R6"/>
    <tableColumn id="7" xr3:uid="{2C7C11AB-2B08-814F-8CD7-CBDB44AB1F5A}" name="R7"/>
    <tableColumn id="8" xr3:uid="{3F8F9B82-4F12-6F49-B327-273AC3F0547A}" name="R8"/>
    <tableColumn id="9" xr3:uid="{D246B3AD-F00C-F24D-8F0C-08A23A6B82A4}" name="R9"/>
    <tableColumn id="10" xr3:uid="{059F2455-4B28-1E4D-B4CA-4A633CD0DC97}" name="R10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C06A33-9BBB-8E4F-949E-D9B8777E831D}" name="Table225" displayName="Table225" ref="D1:M32" totalsRowCount="1">
  <autoFilter ref="D1:M31" xr:uid="{89C06A33-9BBB-8E4F-949E-D9B8777E831D}"/>
  <tableColumns count="10">
    <tableColumn id="1" xr3:uid="{238EBD16-AF1D-C545-99C8-C171C5D8911A}" name="R1"/>
    <tableColumn id="2" xr3:uid="{3288CD1C-B026-EA45-A346-22E70DE5B4A0}" name="R2"/>
    <tableColumn id="3" xr3:uid="{E3B77AD2-249A-0C4F-A17B-0D4D378CCEB1}" name="R3"/>
    <tableColumn id="4" xr3:uid="{E74BB9CF-00F9-1543-899A-B7DA47308606}" name="R4"/>
    <tableColumn id="5" xr3:uid="{8C11E162-4242-9F47-920F-5F2DE0F252C2}" name="R5"/>
    <tableColumn id="6" xr3:uid="{90ADF784-78C3-1D46-9287-1B4287E6A2B8}" name="R6"/>
    <tableColumn id="7" xr3:uid="{82E86DA0-47CC-B54B-BB2F-ED3B59CC6E47}" name="R7"/>
    <tableColumn id="8" xr3:uid="{A220D2DA-5042-A541-9412-B04388AC09B9}" name="R8"/>
    <tableColumn id="9" xr3:uid="{94EDEF68-4D9B-8D47-9586-6F2D764F375A}" name="R9"/>
    <tableColumn id="10" xr3:uid="{A8BDFF42-FD8B-6E42-B8A3-3F9B89F0F33B}" name="R10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514E9-E0D0-274C-84F6-B2737A4D0550}" name="Table2" displayName="Table2" ref="D1:M32" totalsRowCount="1">
  <autoFilter ref="D1:M31" xr:uid="{735514E9-E0D0-274C-84F6-B2737A4D0550}"/>
  <tableColumns count="10">
    <tableColumn id="1" xr3:uid="{3CB77B54-1EE6-1D4B-BCC2-1DDB9CFD0105}" name="R1"/>
    <tableColumn id="2" xr3:uid="{E327BABB-11C3-7E40-9FF6-60820FD45A03}" name="R2"/>
    <tableColumn id="3" xr3:uid="{CB1DB509-B78B-7046-BE15-27D61A2E7FAE}" name="R3"/>
    <tableColumn id="4" xr3:uid="{F4DAF613-C699-9549-A4FA-AFFDD10BDE8C}" name="R4"/>
    <tableColumn id="5" xr3:uid="{9D6D5990-B21E-E04B-A5DE-41CF92FDA258}" name="R5"/>
    <tableColumn id="6" xr3:uid="{022CA171-DD9A-9445-B576-D0843A081915}" name="R6"/>
    <tableColumn id="7" xr3:uid="{D9449177-0036-FB4A-9F5F-62F827CBB24F}" name="R7"/>
    <tableColumn id="8" xr3:uid="{1041A858-CA3B-EE4B-B9B8-2E0AB2DCD431}" name="R8"/>
    <tableColumn id="9" xr3:uid="{068E6238-CF04-B84C-BE0A-CB4E0AC04FB6}" name="R9"/>
    <tableColumn id="10" xr3:uid="{AE354938-1ED8-934E-9E83-6659961C61C6}" name="R10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6163C9-5381-3A44-A7C4-7898E7A0F1F6}" name="Table24" displayName="Table24" ref="D1:M32" totalsRowCount="1">
  <autoFilter ref="D1:M31" xr:uid="{066163C9-5381-3A44-A7C4-7898E7A0F1F6}"/>
  <tableColumns count="10">
    <tableColumn id="1" xr3:uid="{324CD7CC-2D44-6643-8315-5F4C361E6FDE}" name="R1"/>
    <tableColumn id="2" xr3:uid="{C495F0A5-DD8F-8846-9491-073D2656B90E}" name="R2"/>
    <tableColumn id="3" xr3:uid="{2D211C2D-4990-3A46-943B-10C7DA8B3C3A}" name="R3"/>
    <tableColumn id="4" xr3:uid="{4AF0B7C9-9AF6-8043-988D-DF30F806C698}" name="R4"/>
    <tableColumn id="5" xr3:uid="{DA9E712A-0C46-9847-92D5-DE0D54ADE576}" name="R5"/>
    <tableColumn id="6" xr3:uid="{230DADB8-959A-794F-88BB-0336D724785D}" name="R6"/>
    <tableColumn id="7" xr3:uid="{FAD0D513-B734-9847-B833-195C50C6DB70}" name="R7"/>
    <tableColumn id="8" xr3:uid="{6E5F5309-924A-4041-B13F-989AAD035425}" name="R8"/>
    <tableColumn id="9" xr3:uid="{5854D502-9CE5-C24C-A227-31FC13981279}" name="R9"/>
    <tableColumn id="10" xr3:uid="{089012B3-B08B-8049-A6EF-3AC105E5DA96}" name="R10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D8401D-966C-7648-9283-B38A3249F27E}" name="Table26" displayName="Table26" ref="D1:M20" totalsRowCount="1">
  <autoFilter ref="D1:M19" xr:uid="{735514E9-E0D0-274C-84F6-B2737A4D0550}"/>
  <tableColumns count="10">
    <tableColumn id="1" xr3:uid="{E813765D-E937-0F43-82A9-A0DF0BAB60B1}" name="R1"/>
    <tableColumn id="2" xr3:uid="{2E142FB7-25B6-954B-96C8-6BE4737D1DB1}" name="R2"/>
    <tableColumn id="3" xr3:uid="{3F60B805-94F5-9C4D-8D5A-FF126B4345D2}" name="R3"/>
    <tableColumn id="4" xr3:uid="{B04E2BBE-34CF-E343-80FC-058953A80F21}" name="R4"/>
    <tableColumn id="5" xr3:uid="{41E97346-80F2-F04A-8CC8-F79CC0AA655D}" name="R5"/>
    <tableColumn id="6" xr3:uid="{FC9AD380-64EF-9544-B4D3-40D125B8653F}" name="R6"/>
    <tableColumn id="7" xr3:uid="{BA3B507F-E001-E24C-AA1C-4FDF81D28890}" name="R7"/>
    <tableColumn id="8" xr3:uid="{90E2D2B4-1131-034E-994D-BBB6AE9F9E45}" name="R8"/>
    <tableColumn id="9" xr3:uid="{E989A395-93A7-3842-8A22-970B27267852}" name="R9"/>
    <tableColumn id="10" xr3:uid="{0BEE98B2-92B0-2E47-A8D1-496A3F556862}" name="R1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FB5A-9587-6C4F-9354-A3A5C48E7010}">
  <dimension ref="A1:AK34"/>
  <sheetViews>
    <sheetView workbookViewId="0">
      <selection activeCell="O8" sqref="O8:O9"/>
    </sheetView>
  </sheetViews>
  <sheetFormatPr baseColWidth="10" defaultRowHeight="16" x14ac:dyDescent="0.2"/>
  <cols>
    <col min="2" max="2" width="10.83203125" style="3"/>
    <col min="3" max="3" width="10.83203125" style="2"/>
  </cols>
  <sheetData>
    <row r="1" spans="1:37" x14ac:dyDescent="0.2">
      <c r="A1" s="3" t="s">
        <v>24</v>
      </c>
      <c r="B1" s="3" t="s">
        <v>25</v>
      </c>
      <c r="C1" s="2" t="s">
        <v>29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">
      <c r="A2" s="5">
        <f>RANK(B2, B$2:B$100, 0)</f>
        <v>1</v>
      </c>
      <c r="B2" s="5">
        <f>SUM(P2:Y2)</f>
        <v>0</v>
      </c>
      <c r="C2" s="5" t="s">
        <v>30</v>
      </c>
      <c r="O2" s="5" t="s">
        <v>0</v>
      </c>
      <c r="P2" t="str">
        <f>IF(D$34=11-P$1,IF(D2=D3,10*P$1*D2,10*P$1*-1*ABS((D2-D3))),"")</f>
        <v/>
      </c>
      <c r="Q2" t="str">
        <f t="shared" ref="Q2:Y2" si="0">IF(E$34=11-Q$1,IF(E2=E3,10*Q$1*E2,10*Q$1*-1*ABS((E2-E3))),"")</f>
        <v/>
      </c>
      <c r="R2" t="str">
        <f t="shared" si="0"/>
        <v/>
      </c>
      <c r="S2" t="str">
        <f t="shared" si="0"/>
        <v/>
      </c>
      <c r="T2" t="str">
        <f t="shared" si="0"/>
        <v/>
      </c>
      <c r="U2" t="str">
        <f t="shared" si="0"/>
        <v/>
      </c>
      <c r="V2" t="str">
        <f t="shared" si="0"/>
        <v/>
      </c>
      <c r="W2" t="str">
        <f t="shared" si="0"/>
        <v/>
      </c>
      <c r="X2" t="str">
        <f t="shared" si="0"/>
        <v/>
      </c>
      <c r="Y2" t="str">
        <f t="shared" si="0"/>
        <v/>
      </c>
      <c r="AA2" s="4"/>
    </row>
    <row r="3" spans="1:37" x14ac:dyDescent="0.2">
      <c r="A3" s="5"/>
      <c r="B3" s="5"/>
      <c r="C3" s="5"/>
      <c r="O3" s="5"/>
      <c r="AA3" s="4"/>
    </row>
    <row r="4" spans="1:37" x14ac:dyDescent="0.2">
      <c r="A4" s="5">
        <f>RANK(B4, B$2:B$100, 0)</f>
        <v>1</v>
      </c>
      <c r="B4" s="5">
        <f>SUM(P4:Y4)</f>
        <v>0</v>
      </c>
      <c r="C4" s="5" t="s">
        <v>1</v>
      </c>
      <c r="O4" s="5" t="s">
        <v>1</v>
      </c>
      <c r="P4" t="str">
        <f>IF(D$34=11-P$1,IF(D4=D5,10*P$1*D4,10*P$1*-1*ABS((D4-D5))),"")</f>
        <v/>
      </c>
      <c r="Q4" t="str">
        <f t="shared" ref="Q4" si="1">IF(E$34=11-Q$1,IF(E4=E5,10*Q$1*E4,10*Q$1*-1*ABS((E4-E5))),"")</f>
        <v/>
      </c>
      <c r="R4" t="str">
        <f t="shared" ref="R4" si="2">IF(F$34=11-R$1,IF(F4=F5,10*R$1*F4,10*R$1*-1*ABS((F4-F5))),"")</f>
        <v/>
      </c>
      <c r="S4" t="str">
        <f t="shared" ref="S4" si="3">IF(G$34=11-S$1,IF(G4=G5,10*S$1*G4,10*S$1*-1*ABS((G4-G5))),"")</f>
        <v/>
      </c>
      <c r="T4" t="str">
        <f t="shared" ref="T4" si="4">IF(H$34=11-T$1,IF(H4=H5,10*T$1*H4,10*T$1*-1*ABS((H4-H5))),"")</f>
        <v/>
      </c>
      <c r="U4" t="str">
        <f t="shared" ref="U4" si="5">IF(I$34=11-U$1,IF(I4=I5,10*U$1*I4,10*U$1*-1*ABS((I4-I5))),"")</f>
        <v/>
      </c>
      <c r="V4" t="str">
        <f t="shared" ref="V4" si="6">IF(J$34=11-V$1,IF(J4=J5,10*V$1*J4,10*V$1*-1*ABS((J4-J5))),"")</f>
        <v/>
      </c>
      <c r="W4" t="str">
        <f t="shared" ref="W4" si="7">IF(K$34=11-W$1,IF(K4=K5,10*W$1*K4,10*W$1*-1*ABS((K4-K5))),"")</f>
        <v/>
      </c>
      <c r="X4" t="str">
        <f t="shared" ref="X4" si="8">IF(L$34=11-X$1,IF(L4=L5,10*X$1*L4,10*X$1*-1*ABS((L4-L5))),"")</f>
        <v/>
      </c>
      <c r="Y4" t="str">
        <f t="shared" ref="Y4" si="9">IF(M$34=11-Y$1,IF(M4=M5,10*Y$1*M4,10*Y$1*-1*ABS((M4-M5))),"")</f>
        <v/>
      </c>
      <c r="AA4" s="4"/>
    </row>
    <row r="5" spans="1:37" x14ac:dyDescent="0.2">
      <c r="A5" s="5"/>
      <c r="B5" s="5"/>
      <c r="C5" s="5"/>
      <c r="O5" s="5"/>
      <c r="AA5" s="4"/>
    </row>
    <row r="6" spans="1:37" x14ac:dyDescent="0.2">
      <c r="A6" s="5">
        <f>RANK(B6, B$2:B$100, 0)</f>
        <v>1</v>
      </c>
      <c r="B6" s="5">
        <f>SUM(P6:Y6)</f>
        <v>0</v>
      </c>
      <c r="C6" s="5" t="s">
        <v>26</v>
      </c>
      <c r="O6" s="5" t="s">
        <v>26</v>
      </c>
      <c r="P6" t="str">
        <f>IF(D$34=11-P$1,IF(D6=D7,10*P$1*D6,10*P$1*-1*ABS((D6-D7))),"")</f>
        <v/>
      </c>
      <c r="Q6" t="str">
        <f t="shared" ref="Q6" si="10">IF(E$34=11-Q$1,IF(E6=E7,10*Q$1*E6,10*Q$1*-1*ABS((E6-E7))),"")</f>
        <v/>
      </c>
      <c r="R6" t="str">
        <f t="shared" ref="R6" si="11">IF(F$34=11-R$1,IF(F6=F7,10*R$1*F6,10*R$1*-1*ABS((F6-F7))),"")</f>
        <v/>
      </c>
      <c r="S6" t="str">
        <f t="shared" ref="S6" si="12">IF(G$34=11-S$1,IF(G6=G7,10*S$1*G6,10*S$1*-1*ABS((G6-G7))),"")</f>
        <v/>
      </c>
      <c r="T6" t="str">
        <f t="shared" ref="T6" si="13">IF(H$34=11-T$1,IF(H6=H7,10*T$1*H6,10*T$1*-1*ABS((H6-H7))),"")</f>
        <v/>
      </c>
      <c r="U6" t="str">
        <f t="shared" ref="U6" si="14">IF(I$34=11-U$1,IF(I6=I7,10*U$1*I6,10*U$1*-1*ABS((I6-I7))),"")</f>
        <v/>
      </c>
      <c r="V6" t="str">
        <f t="shared" ref="V6" si="15">IF(J$34=11-V$1,IF(J6=J7,10*V$1*J6,10*V$1*-1*ABS((J6-J7))),"")</f>
        <v/>
      </c>
      <c r="W6" t="str">
        <f t="shared" ref="W6" si="16">IF(K$34=11-W$1,IF(K6=K7,10*W$1*K6,10*W$1*-1*ABS((K6-K7))),"")</f>
        <v/>
      </c>
      <c r="X6" t="str">
        <f t="shared" ref="X6" si="17">IF(L$34=11-X$1,IF(L6=L7,10*X$1*L6,10*X$1*-1*ABS((L6-L7))),"")</f>
        <v/>
      </c>
      <c r="Y6" t="str">
        <f t="shared" ref="Y6" si="18">IF(M$34=11-Y$1,IF(M6=M7,10*Y$1*M6,10*Y$1*-1*ABS((M6-M7))),"")</f>
        <v/>
      </c>
      <c r="AA6" s="4"/>
    </row>
    <row r="7" spans="1:37" x14ac:dyDescent="0.2">
      <c r="A7" s="5"/>
      <c r="B7" s="5"/>
      <c r="C7" s="5"/>
      <c r="O7" s="5"/>
      <c r="AA7" s="4"/>
    </row>
    <row r="8" spans="1:37" x14ac:dyDescent="0.2">
      <c r="A8" s="5">
        <f>RANK(B8, B$2:B$100, 0)</f>
        <v>1</v>
      </c>
      <c r="B8" s="5">
        <f>SUM(P8:Y8)</f>
        <v>0</v>
      </c>
      <c r="C8" s="5" t="s">
        <v>22</v>
      </c>
      <c r="O8" s="5" t="s">
        <v>22</v>
      </c>
      <c r="P8" t="str">
        <f>IF(D$34=11-P$1,IF(D8=D9,10*P$1*D8,10*P$1*-1*ABS((D8-D9))),"")</f>
        <v/>
      </c>
      <c r="Q8" t="str">
        <f t="shared" ref="Q8" si="19">IF(E$34=11-Q$1,IF(E8=E9,10*Q$1*E8,10*Q$1*-1*ABS((E8-E9))),"")</f>
        <v/>
      </c>
      <c r="R8" t="str">
        <f t="shared" ref="R8" si="20">IF(F$34=11-R$1,IF(F8=F9,10*R$1*F8,10*R$1*-1*ABS((F8-F9))),"")</f>
        <v/>
      </c>
      <c r="S8" t="str">
        <f t="shared" ref="S8" si="21">IF(G$34=11-S$1,IF(G8=G9,10*S$1*G8,10*S$1*-1*ABS((G8-G9))),"")</f>
        <v/>
      </c>
      <c r="T8" t="str">
        <f t="shared" ref="T8" si="22">IF(H$34=11-T$1,IF(H8=H9,10*T$1*H8,10*T$1*-1*ABS((H8-H9))),"")</f>
        <v/>
      </c>
      <c r="U8" t="str">
        <f t="shared" ref="U8" si="23">IF(I$34=11-U$1,IF(I8=I9,10*U$1*I8,10*U$1*-1*ABS((I8-I9))),"")</f>
        <v/>
      </c>
      <c r="V8" t="str">
        <f t="shared" ref="V8" si="24">IF(J$34=11-V$1,IF(J8=J9,10*V$1*J8,10*V$1*-1*ABS((J8-J9))),"")</f>
        <v/>
      </c>
      <c r="W8" t="str">
        <f t="shared" ref="W8" si="25">IF(K$34=11-W$1,IF(K8=K9,10*W$1*K8,10*W$1*-1*ABS((K8-K9))),"")</f>
        <v/>
      </c>
      <c r="X8" t="str">
        <f t="shared" ref="X8" si="26">IF(L$34=11-X$1,IF(L8=L9,10*X$1*L8,10*X$1*-1*ABS((L8-L9))),"")</f>
        <v/>
      </c>
      <c r="Y8" t="str">
        <f t="shared" ref="Y8" si="27">IF(M$34=11-Y$1,IF(M8=M9,10*Y$1*M8,10*Y$1*-1*ABS((M8-M9))),"")</f>
        <v/>
      </c>
      <c r="AA8" s="4"/>
    </row>
    <row r="9" spans="1:37" x14ac:dyDescent="0.2">
      <c r="A9" s="5"/>
      <c r="B9" s="5"/>
      <c r="C9" s="5"/>
      <c r="O9" s="5"/>
      <c r="AA9" s="4"/>
    </row>
    <row r="10" spans="1:37" x14ac:dyDescent="0.2">
      <c r="A10" s="5">
        <f>RANK(B10, B$2:B$100, 0)</f>
        <v>1</v>
      </c>
      <c r="B10" s="5">
        <f>SUM(P10:Y10)</f>
        <v>0</v>
      </c>
      <c r="C10" s="5" t="s">
        <v>2</v>
      </c>
      <c r="O10" s="5" t="s">
        <v>2</v>
      </c>
      <c r="P10" t="str">
        <f>IF(D$34=11-P$1,IF(D10=D11,10*P$1*D10,10*P$1*-1*ABS((D10-D11))),"")</f>
        <v/>
      </c>
      <c r="Q10" t="str">
        <f t="shared" ref="Q10" si="28">IF(E$34=11-Q$1,IF(E10=E11,10*Q$1*E10,10*Q$1*-1*ABS((E10-E11))),"")</f>
        <v/>
      </c>
      <c r="R10" t="str">
        <f t="shared" ref="R10" si="29">IF(F$34=11-R$1,IF(F10=F11,10*R$1*F10,10*R$1*-1*ABS((F10-F11))),"")</f>
        <v/>
      </c>
      <c r="S10" t="str">
        <f t="shared" ref="S10" si="30">IF(G$34=11-S$1,IF(G10=G11,10*S$1*G10,10*S$1*-1*ABS((G10-G11))),"")</f>
        <v/>
      </c>
      <c r="T10" t="str">
        <f t="shared" ref="T10" si="31">IF(H$34=11-T$1,IF(H10=H11,10*T$1*H10,10*T$1*-1*ABS((H10-H11))),"")</f>
        <v/>
      </c>
      <c r="U10" t="str">
        <f t="shared" ref="U10" si="32">IF(I$34=11-U$1,IF(I10=I11,10*U$1*I10,10*U$1*-1*ABS((I10-I11))),"")</f>
        <v/>
      </c>
      <c r="V10" t="str">
        <f t="shared" ref="V10" si="33">IF(J$34=11-V$1,IF(J10=J11,10*V$1*J10,10*V$1*-1*ABS((J10-J11))),"")</f>
        <v/>
      </c>
      <c r="W10" t="str">
        <f t="shared" ref="W10" si="34">IF(K$34=11-W$1,IF(K10=K11,10*W$1*K10,10*W$1*-1*ABS((K10-K11))),"")</f>
        <v/>
      </c>
      <c r="X10" t="str">
        <f t="shared" ref="X10" si="35">IF(L$34=11-X$1,IF(L10=L11,10*X$1*L10,10*X$1*-1*ABS((L10-L11))),"")</f>
        <v/>
      </c>
      <c r="Y10" t="str">
        <f t="shared" ref="Y10" si="36">IF(M$34=11-Y$1,IF(M10=M11,10*Y$1*M10,10*Y$1*-1*ABS((M10-M11))),"")</f>
        <v/>
      </c>
      <c r="AA10" s="4"/>
    </row>
    <row r="11" spans="1:37" x14ac:dyDescent="0.2">
      <c r="A11" s="5"/>
      <c r="B11" s="5"/>
      <c r="C11" s="5"/>
      <c r="O11" s="5"/>
      <c r="AA11" s="4"/>
    </row>
    <row r="12" spans="1:37" x14ac:dyDescent="0.2">
      <c r="A12" s="5">
        <f>RANK(B12, B$2:B$100, 0)</f>
        <v>1</v>
      </c>
      <c r="B12" s="5">
        <f>SUM(P12:Y12)</f>
        <v>0</v>
      </c>
      <c r="C12" s="5" t="s">
        <v>3</v>
      </c>
      <c r="O12" s="5" t="s">
        <v>3</v>
      </c>
      <c r="P12" t="str">
        <f>IF(D$34=11-P$1,IF(D12=D13,10*P$1*D12,10*P$1*-1*ABS((D12-D13))),"")</f>
        <v/>
      </c>
      <c r="Q12" t="str">
        <f t="shared" ref="Q12" si="37">IF(E$34=11-Q$1,IF(E12=E13,10*Q$1*E12,10*Q$1*-1*ABS((E12-E13))),"")</f>
        <v/>
      </c>
      <c r="R12" t="str">
        <f t="shared" ref="R12" si="38">IF(F$34=11-R$1,IF(F12=F13,10*R$1*F12,10*R$1*-1*ABS((F12-F13))),"")</f>
        <v/>
      </c>
      <c r="S12" t="str">
        <f t="shared" ref="S12" si="39">IF(G$34=11-S$1,IF(G12=G13,10*S$1*G12,10*S$1*-1*ABS((G12-G13))),"")</f>
        <v/>
      </c>
      <c r="T12" t="str">
        <f t="shared" ref="T12" si="40">IF(H$34=11-T$1,IF(H12=H13,10*T$1*H12,10*T$1*-1*ABS((H12-H13))),"")</f>
        <v/>
      </c>
      <c r="U12" t="str">
        <f t="shared" ref="U12" si="41">IF(I$34=11-U$1,IF(I12=I13,10*U$1*I12,10*U$1*-1*ABS((I12-I13))),"")</f>
        <v/>
      </c>
      <c r="V12" t="str">
        <f t="shared" ref="V12" si="42">IF(J$34=11-V$1,IF(J12=J13,10*V$1*J12,10*V$1*-1*ABS((J12-J13))),"")</f>
        <v/>
      </c>
      <c r="W12" t="str">
        <f t="shared" ref="W12" si="43">IF(K$34=11-W$1,IF(K12=K13,10*W$1*K12,10*W$1*-1*ABS((K12-K13))),"")</f>
        <v/>
      </c>
      <c r="X12" t="str">
        <f t="shared" ref="X12" si="44">IF(L$34=11-X$1,IF(L12=L13,10*X$1*L12,10*X$1*-1*ABS((L12-L13))),"")</f>
        <v/>
      </c>
      <c r="Y12" t="str">
        <f t="shared" ref="Y12" si="45">IF(M$34=11-Y$1,IF(M12=M13,10*Y$1*M12,10*Y$1*-1*ABS((M12-M13))),"")</f>
        <v/>
      </c>
      <c r="AA12" s="4"/>
    </row>
    <row r="13" spans="1:37" x14ac:dyDescent="0.2">
      <c r="A13" s="5"/>
      <c r="B13" s="5"/>
      <c r="C13" s="5"/>
      <c r="O13" s="5"/>
      <c r="AA13" s="4"/>
    </row>
    <row r="14" spans="1:37" x14ac:dyDescent="0.2">
      <c r="A14" s="5">
        <f>RANK(B14, B$2:B$100, 0)</f>
        <v>1</v>
      </c>
      <c r="B14" s="5">
        <f>SUM(P14:Y14)</f>
        <v>0</v>
      </c>
      <c r="C14" s="5" t="s">
        <v>20</v>
      </c>
      <c r="O14" s="5" t="s">
        <v>20</v>
      </c>
      <c r="P14" t="str">
        <f>IF(D$34=11-P$1,IF(D14=D15,10*P$1*D14,10*P$1*-1*ABS((D14-D15))),"")</f>
        <v/>
      </c>
      <c r="Q14" t="str">
        <f t="shared" ref="Q14" si="46">IF(E$34=11-Q$1,IF(E14=E15,10*Q$1*E14,10*Q$1*-1*ABS((E14-E15))),"")</f>
        <v/>
      </c>
      <c r="R14" t="str">
        <f t="shared" ref="R14" si="47">IF(F$34=11-R$1,IF(F14=F15,10*R$1*F14,10*R$1*-1*ABS((F14-F15))),"")</f>
        <v/>
      </c>
      <c r="S14" t="str">
        <f t="shared" ref="S14" si="48">IF(G$34=11-S$1,IF(G14=G15,10*S$1*G14,10*S$1*-1*ABS((G14-G15))),"")</f>
        <v/>
      </c>
      <c r="T14" t="str">
        <f t="shared" ref="T14" si="49">IF(H$34=11-T$1,IF(H14=H15,10*T$1*H14,10*T$1*-1*ABS((H14-H15))),"")</f>
        <v/>
      </c>
      <c r="U14" t="str">
        <f t="shared" ref="U14" si="50">IF(I$34=11-U$1,IF(I14=I15,10*U$1*I14,10*U$1*-1*ABS((I14-I15))),"")</f>
        <v/>
      </c>
      <c r="V14" t="str">
        <f t="shared" ref="V14" si="51">IF(J$34=11-V$1,IF(J14=J15,10*V$1*J14,10*V$1*-1*ABS((J14-J15))),"")</f>
        <v/>
      </c>
      <c r="W14" t="str">
        <f t="shared" ref="W14" si="52">IF(K$34=11-W$1,IF(K14=K15,10*W$1*K14,10*W$1*-1*ABS((K14-K15))),"")</f>
        <v/>
      </c>
      <c r="X14" t="str">
        <f t="shared" ref="X14" si="53">IF(L$34=11-X$1,IF(L14=L15,10*X$1*L14,10*X$1*-1*ABS((L14-L15))),"")</f>
        <v/>
      </c>
      <c r="Y14" t="str">
        <f t="shared" ref="Y14" si="54">IF(M$34=11-Y$1,IF(M14=M15,10*Y$1*M14,10*Y$1*-1*ABS((M14-M15))),"")</f>
        <v/>
      </c>
      <c r="AA14" s="4"/>
    </row>
    <row r="15" spans="1:37" x14ac:dyDescent="0.2">
      <c r="A15" s="5"/>
      <c r="B15" s="5"/>
      <c r="C15" s="5"/>
      <c r="O15" s="5"/>
      <c r="AA15" s="4"/>
    </row>
    <row r="16" spans="1:37" x14ac:dyDescent="0.2">
      <c r="A16" s="5">
        <f>RANK(B16, B$2:B$100, 0)</f>
        <v>1</v>
      </c>
      <c r="B16" s="5">
        <f>SUM(P16:Y16)</f>
        <v>0</v>
      </c>
      <c r="C16" s="5" t="s">
        <v>23</v>
      </c>
      <c r="O16" s="5" t="s">
        <v>23</v>
      </c>
      <c r="P16" t="str">
        <f>IF(D$34=11-P$1,IF(D16=D17,10*P$1*D16,10*P$1*-1*ABS((D16-D17))),"")</f>
        <v/>
      </c>
      <c r="Q16" t="str">
        <f t="shared" ref="Q16" si="55">IF(E$34=11-Q$1,IF(E16=E17,10*Q$1*E16,10*Q$1*-1*ABS((E16-E17))),"")</f>
        <v/>
      </c>
      <c r="R16" t="str">
        <f t="shared" ref="R16" si="56">IF(F$34=11-R$1,IF(F16=F17,10*R$1*F16,10*R$1*-1*ABS((F16-F17))),"")</f>
        <v/>
      </c>
      <c r="S16" t="str">
        <f t="shared" ref="S16" si="57">IF(G$34=11-S$1,IF(G16=G17,10*S$1*G16,10*S$1*-1*ABS((G16-G17))),"")</f>
        <v/>
      </c>
      <c r="T16" t="str">
        <f t="shared" ref="T16" si="58">IF(H$34=11-T$1,IF(H16=H17,10*T$1*H16,10*T$1*-1*ABS((H16-H17))),"")</f>
        <v/>
      </c>
      <c r="U16" t="str">
        <f t="shared" ref="U16" si="59">IF(I$34=11-U$1,IF(I16=I17,10*U$1*I16,10*U$1*-1*ABS((I16-I17))),"")</f>
        <v/>
      </c>
      <c r="V16" t="str">
        <f t="shared" ref="V16" si="60">IF(J$34=11-V$1,IF(J16=J17,10*V$1*J16,10*V$1*-1*ABS((J16-J17))),"")</f>
        <v/>
      </c>
      <c r="W16" t="str">
        <f t="shared" ref="W16" si="61">IF(K$34=11-W$1,IF(K16=K17,10*W$1*K16,10*W$1*-1*ABS((K16-K17))),"")</f>
        <v/>
      </c>
      <c r="X16" t="str">
        <f t="shared" ref="X16" si="62">IF(L$34=11-X$1,IF(L16=L17,10*X$1*L16,10*X$1*-1*ABS((L16-L17))),"")</f>
        <v/>
      </c>
      <c r="Y16" t="str">
        <f t="shared" ref="Y16" si="63">IF(M$34=11-Y$1,IF(M16=M17,10*Y$1*M16,10*Y$1*-1*ABS((M16-M17))),"")</f>
        <v/>
      </c>
      <c r="AA16" s="4"/>
    </row>
    <row r="17" spans="1:27" x14ac:dyDescent="0.2">
      <c r="A17" s="5"/>
      <c r="B17" s="5"/>
      <c r="C17" s="5"/>
      <c r="O17" s="5"/>
    </row>
    <row r="18" spans="1:27" x14ac:dyDescent="0.2">
      <c r="A18" s="5">
        <f>RANK(B18, B$2:B$100, 0)</f>
        <v>1</v>
      </c>
      <c r="B18" s="5">
        <f>SUM(P18:Y18)</f>
        <v>0</v>
      </c>
      <c r="C18" s="5" t="s">
        <v>4</v>
      </c>
      <c r="O18" s="5" t="s">
        <v>4</v>
      </c>
      <c r="P18" t="str">
        <f>IF(D$34=11-P$1,IF(D18=D19,10*P$1*D18,10*P$1*-1*ABS((D18-D19))),"")</f>
        <v/>
      </c>
      <c r="Q18" t="str">
        <f t="shared" ref="Q18" si="64">IF(E$34=11-Q$1,IF(E18=E19,10*Q$1*E18,10*Q$1*-1*ABS((E18-E19))),"")</f>
        <v/>
      </c>
      <c r="R18" t="str">
        <f t="shared" ref="R18" si="65">IF(F$34=11-R$1,IF(F18=F19,10*R$1*F18,10*R$1*-1*ABS((F18-F19))),"")</f>
        <v/>
      </c>
      <c r="S18" t="str">
        <f t="shared" ref="S18" si="66">IF(G$34=11-S$1,IF(G18=G19,10*S$1*G18,10*S$1*-1*ABS((G18-G19))),"")</f>
        <v/>
      </c>
      <c r="T18" t="str">
        <f t="shared" ref="T18" si="67">IF(H$34=11-T$1,IF(H18=H19,10*T$1*H18,10*T$1*-1*ABS((H18-H19))),"")</f>
        <v/>
      </c>
      <c r="U18" t="str">
        <f t="shared" ref="U18" si="68">IF(I$34=11-U$1,IF(I18=I19,10*U$1*I18,10*U$1*-1*ABS((I18-I19))),"")</f>
        <v/>
      </c>
      <c r="V18" t="str">
        <f t="shared" ref="V18" si="69">IF(J$34=11-V$1,IF(J18=J19,10*V$1*J18,10*V$1*-1*ABS((J18-J19))),"")</f>
        <v/>
      </c>
      <c r="W18" t="str">
        <f t="shared" ref="W18" si="70">IF(K$34=11-W$1,IF(K18=K19,10*W$1*K18,10*W$1*-1*ABS((K18-K19))),"")</f>
        <v/>
      </c>
      <c r="X18" t="str">
        <f t="shared" ref="X18" si="71">IF(L$34=11-X$1,IF(L18=L19,10*X$1*L18,10*X$1*-1*ABS((L18-L19))),"")</f>
        <v/>
      </c>
      <c r="Y18" t="str">
        <f t="shared" ref="Y18" si="72">IF(M$34=11-Y$1,IF(M18=M19,10*Y$1*M18,10*Y$1*-1*ABS((M18-M19))),"")</f>
        <v/>
      </c>
      <c r="AA18" s="3"/>
    </row>
    <row r="19" spans="1:27" x14ac:dyDescent="0.2">
      <c r="A19" s="5"/>
      <c r="B19" s="5"/>
      <c r="C19" s="5"/>
      <c r="O19" s="5"/>
    </row>
    <row r="20" spans="1:27" x14ac:dyDescent="0.2">
      <c r="A20" s="5">
        <f>RANK(B20, B$2:B$100, 0)</f>
        <v>1</v>
      </c>
      <c r="B20" s="5">
        <f>SUM(P20:Y20)</f>
        <v>0</v>
      </c>
      <c r="C20" s="5" t="s">
        <v>5</v>
      </c>
      <c r="O20" s="5" t="s">
        <v>5</v>
      </c>
      <c r="P20" t="str">
        <f>IF(D$34=11-P$1,IF(D20=D21,10*P$1*D20,10*P$1*-1*ABS((D20-D21))),"")</f>
        <v/>
      </c>
      <c r="Q20" t="str">
        <f t="shared" ref="Q20" si="73">IF(E$34=11-Q$1,IF(E20=E21,10*Q$1*E20,10*Q$1*-1*ABS((E20-E21))),"")</f>
        <v/>
      </c>
      <c r="R20" t="str">
        <f t="shared" ref="R20" si="74">IF(F$34=11-R$1,IF(F20=F21,10*R$1*F20,10*R$1*-1*ABS((F20-F21))),"")</f>
        <v/>
      </c>
      <c r="S20" t="str">
        <f t="shared" ref="S20" si="75">IF(G$34=11-S$1,IF(G20=G21,10*S$1*G20,10*S$1*-1*ABS((G20-G21))),"")</f>
        <v/>
      </c>
      <c r="T20" t="str">
        <f t="shared" ref="T20" si="76">IF(H$34=11-T$1,IF(H20=H21,10*T$1*H20,10*T$1*-1*ABS((H20-H21))),"")</f>
        <v/>
      </c>
      <c r="U20" t="str">
        <f t="shared" ref="U20" si="77">IF(I$34=11-U$1,IF(I20=I21,10*U$1*I20,10*U$1*-1*ABS((I20-I21))),"")</f>
        <v/>
      </c>
      <c r="V20" t="str">
        <f t="shared" ref="V20" si="78">IF(J$34=11-V$1,IF(J20=J21,10*V$1*J20,10*V$1*-1*ABS((J20-J21))),"")</f>
        <v/>
      </c>
      <c r="W20" t="str">
        <f t="shared" ref="W20" si="79">IF(K$34=11-W$1,IF(K20=K21,10*W$1*K20,10*W$1*-1*ABS((K20-K21))),"")</f>
        <v/>
      </c>
      <c r="X20" t="str">
        <f t="shared" ref="X20" si="80">IF(L$34=11-X$1,IF(L20=L21,10*X$1*L20,10*X$1*-1*ABS((L20-L21))),"")</f>
        <v/>
      </c>
      <c r="Y20" t="str">
        <f t="shared" ref="Y20" si="81">IF(M$34=11-Y$1,IF(M20=M21,10*Y$1*M20,10*Y$1*-1*ABS((M20-M21))),"")</f>
        <v/>
      </c>
      <c r="AA20" s="3"/>
    </row>
    <row r="21" spans="1:27" x14ac:dyDescent="0.2">
      <c r="A21" s="5"/>
      <c r="B21" s="5"/>
      <c r="C21" s="5"/>
      <c r="O21" s="5"/>
    </row>
    <row r="22" spans="1:27" x14ac:dyDescent="0.2">
      <c r="A22" s="5">
        <f>RANK(B22, B$2:B$100, 0)</f>
        <v>1</v>
      </c>
      <c r="B22" s="5">
        <f>SUM(P22:Y22)</f>
        <v>0</v>
      </c>
      <c r="C22" s="5" t="s">
        <v>21</v>
      </c>
      <c r="O22" s="5" t="s">
        <v>21</v>
      </c>
      <c r="P22" t="str">
        <f>IF(D$34=11-P$1,IF(D22=D23,10*P$1*D22,10*P$1*-1*ABS((D22-D23))),"")</f>
        <v/>
      </c>
      <c r="Q22" t="str">
        <f t="shared" ref="Q22" si="82">IF(E$34=11-Q$1,IF(E22=E23,10*Q$1*E22,10*Q$1*-1*ABS((E22-E23))),"")</f>
        <v/>
      </c>
      <c r="R22" t="str">
        <f t="shared" ref="R22" si="83">IF(F$34=11-R$1,IF(F22=F23,10*R$1*F22,10*R$1*-1*ABS((F22-F23))),"")</f>
        <v/>
      </c>
      <c r="S22" t="str">
        <f t="shared" ref="S22" si="84">IF(G$34=11-S$1,IF(G22=G23,10*S$1*G22,10*S$1*-1*ABS((G22-G23))),"")</f>
        <v/>
      </c>
      <c r="T22" t="str">
        <f t="shared" ref="T22" si="85">IF(H$34=11-T$1,IF(H22=H23,10*T$1*H22,10*T$1*-1*ABS((H22-H23))),"")</f>
        <v/>
      </c>
      <c r="U22" t="str">
        <f t="shared" ref="U22" si="86">IF(I$34=11-U$1,IF(I22=I23,10*U$1*I22,10*U$1*-1*ABS((I22-I23))),"")</f>
        <v/>
      </c>
      <c r="V22" t="str">
        <f t="shared" ref="V22" si="87">IF(J$34=11-V$1,IF(J22=J23,10*V$1*J22,10*V$1*-1*ABS((J22-J23))),"")</f>
        <v/>
      </c>
      <c r="W22" t="str">
        <f t="shared" ref="W22" si="88">IF(K$34=11-W$1,IF(K22=K23,10*W$1*K22,10*W$1*-1*ABS((K22-K23))),"")</f>
        <v/>
      </c>
      <c r="X22" t="str">
        <f t="shared" ref="X22" si="89">IF(L$34=11-X$1,IF(L22=L23,10*X$1*L22,10*X$1*-1*ABS((L22-L23))),"")</f>
        <v/>
      </c>
      <c r="Y22" t="str">
        <f t="shared" ref="Y22" si="90">IF(M$34=11-Y$1,IF(M22=M23,10*Y$1*M22,10*Y$1*-1*ABS((M22-M23))),"")</f>
        <v/>
      </c>
      <c r="AA22" s="3"/>
    </row>
    <row r="23" spans="1:27" x14ac:dyDescent="0.2">
      <c r="A23" s="5"/>
      <c r="B23" s="5"/>
      <c r="C23" s="5"/>
      <c r="O23" s="5"/>
    </row>
    <row r="24" spans="1:27" x14ac:dyDescent="0.2">
      <c r="A24" s="5">
        <f>RANK(B24, B$2:B$100, 0)</f>
        <v>1</v>
      </c>
      <c r="B24" s="5">
        <f>SUM(P24:Y24)</f>
        <v>0</v>
      </c>
      <c r="C24" s="5" t="s">
        <v>6</v>
      </c>
      <c r="O24" s="5" t="s">
        <v>6</v>
      </c>
      <c r="P24" t="str">
        <f>IF(D$34=11-P$1,IF(D24=D25,10*P$1*D24,10*P$1*-1*ABS((D24-D25))),"")</f>
        <v/>
      </c>
      <c r="Q24" t="str">
        <f t="shared" ref="Q24" si="91">IF(E$34=11-Q$1,IF(E24=E25,10*Q$1*E24,10*Q$1*-1*ABS((E24-E25))),"")</f>
        <v/>
      </c>
      <c r="R24" t="str">
        <f t="shared" ref="R24" si="92">IF(F$34=11-R$1,IF(F24=F25,10*R$1*F24,10*R$1*-1*ABS((F24-F25))),"")</f>
        <v/>
      </c>
      <c r="S24" t="str">
        <f t="shared" ref="S24" si="93">IF(G$34=11-S$1,IF(G24=G25,10*S$1*G24,10*S$1*-1*ABS((G24-G25))),"")</f>
        <v/>
      </c>
      <c r="T24" t="str">
        <f t="shared" ref="T24" si="94">IF(H$34=11-T$1,IF(H24=H25,10*T$1*H24,10*T$1*-1*ABS((H24-H25))),"")</f>
        <v/>
      </c>
      <c r="U24" t="str">
        <f t="shared" ref="U24" si="95">IF(I$34=11-U$1,IF(I24=I25,10*U$1*I24,10*U$1*-1*ABS((I24-I25))),"")</f>
        <v/>
      </c>
      <c r="V24" t="str">
        <f t="shared" ref="V24" si="96">IF(J$34=11-V$1,IF(J24=J25,10*V$1*J24,10*V$1*-1*ABS((J24-J25))),"")</f>
        <v/>
      </c>
      <c r="W24" t="str">
        <f t="shared" ref="W24" si="97">IF(K$34=11-W$1,IF(K24=K25,10*W$1*K24,10*W$1*-1*ABS((K24-K25))),"")</f>
        <v/>
      </c>
      <c r="X24" t="str">
        <f t="shared" ref="X24" si="98">IF(L$34=11-X$1,IF(L24=L25,10*X$1*L24,10*X$1*-1*ABS((L24-L25))),"")</f>
        <v/>
      </c>
      <c r="Y24" t="str">
        <f t="shared" ref="Y24" si="99">IF(M$34=11-Y$1,IF(M24=M25,10*Y$1*M24,10*Y$1*-1*ABS((M24-M25))),"")</f>
        <v/>
      </c>
      <c r="AA24" s="3"/>
    </row>
    <row r="25" spans="1:27" x14ac:dyDescent="0.2">
      <c r="A25" s="5"/>
      <c r="B25" s="5"/>
      <c r="C25" s="5"/>
      <c r="O25" s="5"/>
    </row>
    <row r="26" spans="1:27" x14ac:dyDescent="0.2">
      <c r="A26" s="5">
        <f>RANK(B26, B$2:B$100, 0)</f>
        <v>1</v>
      </c>
      <c r="B26" s="5">
        <f>SUM(P26:Y26)</f>
        <v>0</v>
      </c>
      <c r="C26" s="5" t="s">
        <v>7</v>
      </c>
      <c r="O26" s="5" t="s">
        <v>7</v>
      </c>
      <c r="P26" t="str">
        <f>IF(D$34=11-P$1,IF(D26=D27,10*P$1*D26,10*P$1*-1*ABS((D26-D27))),"")</f>
        <v/>
      </c>
      <c r="Q26" t="str">
        <f t="shared" ref="Q26" si="100">IF(E$34=11-Q$1,IF(E26=E27,10*Q$1*E26,10*Q$1*-1*ABS((E26-E27))),"")</f>
        <v/>
      </c>
      <c r="R26" t="str">
        <f t="shared" ref="R26" si="101">IF(F$34=11-R$1,IF(F26=F27,10*R$1*F26,10*R$1*-1*ABS((F26-F27))),"")</f>
        <v/>
      </c>
      <c r="S26" t="str">
        <f t="shared" ref="S26" si="102">IF(G$34=11-S$1,IF(G26=G27,10*S$1*G26,10*S$1*-1*ABS((G26-G27))),"")</f>
        <v/>
      </c>
      <c r="T26" t="str">
        <f t="shared" ref="T26" si="103">IF(H$34=11-T$1,IF(H26=H27,10*T$1*H26,10*T$1*-1*ABS((H26-H27))),"")</f>
        <v/>
      </c>
      <c r="U26" t="str">
        <f t="shared" ref="U26" si="104">IF(I$34=11-U$1,IF(I26=I27,10*U$1*I26,10*U$1*-1*ABS((I26-I27))),"")</f>
        <v/>
      </c>
      <c r="V26" t="str">
        <f t="shared" ref="V26" si="105">IF(J$34=11-V$1,IF(J26=J27,10*V$1*J26,10*V$1*-1*ABS((J26-J27))),"")</f>
        <v/>
      </c>
      <c r="W26" t="str">
        <f t="shared" ref="W26" si="106">IF(K$34=11-W$1,IF(K26=K27,10*W$1*K26,10*W$1*-1*ABS((K26-K27))),"")</f>
        <v/>
      </c>
      <c r="X26" t="str">
        <f t="shared" ref="X26" si="107">IF(L$34=11-X$1,IF(L26=L27,10*X$1*L26,10*X$1*-1*ABS((L26-L27))),"")</f>
        <v/>
      </c>
      <c r="Y26" t="str">
        <f t="shared" ref="Y26" si="108">IF(M$34=11-Y$1,IF(M26=M27,10*Y$1*M26,10*Y$1*-1*ABS((M26-M27))),"")</f>
        <v/>
      </c>
      <c r="AA26" s="3"/>
    </row>
    <row r="27" spans="1:27" x14ac:dyDescent="0.2">
      <c r="A27" s="5"/>
      <c r="B27" s="5"/>
      <c r="C27" s="5"/>
      <c r="O27" s="5"/>
    </row>
    <row r="28" spans="1:27" x14ac:dyDescent="0.2">
      <c r="A28" s="5">
        <f>RANK(B28, B$2:B$100, 0)</f>
        <v>1</v>
      </c>
      <c r="B28" s="5">
        <f>SUM(P28:Y28)</f>
        <v>0</v>
      </c>
      <c r="C28" s="5" t="s">
        <v>8</v>
      </c>
      <c r="O28" s="5" t="s">
        <v>8</v>
      </c>
      <c r="P28" t="str">
        <f>IF(D$34=11-P$1,IF(D28=D29,10*P$1*D28,10*P$1*-1*ABS((D28-D29))),"")</f>
        <v/>
      </c>
      <c r="Q28" t="str">
        <f t="shared" ref="Q28" si="109">IF(E$34=11-Q$1,IF(E28=E29,10*Q$1*E28,10*Q$1*-1*ABS((E28-E29))),"")</f>
        <v/>
      </c>
      <c r="R28" t="str">
        <f t="shared" ref="R28" si="110">IF(F$34=11-R$1,IF(F28=F29,10*R$1*F28,10*R$1*-1*ABS((F28-F29))),"")</f>
        <v/>
      </c>
      <c r="S28" t="str">
        <f t="shared" ref="S28" si="111">IF(G$34=11-S$1,IF(G28=G29,10*S$1*G28,10*S$1*-1*ABS((G28-G29))),"")</f>
        <v/>
      </c>
      <c r="T28" t="str">
        <f t="shared" ref="T28" si="112">IF(H$34=11-T$1,IF(H28=H29,10*T$1*H28,10*T$1*-1*ABS((H28-H29))),"")</f>
        <v/>
      </c>
      <c r="U28" t="str">
        <f t="shared" ref="U28" si="113">IF(I$34=11-U$1,IF(I28=I29,10*U$1*I28,10*U$1*-1*ABS((I28-I29))),"")</f>
        <v/>
      </c>
      <c r="V28" t="str">
        <f t="shared" ref="V28" si="114">IF(J$34=11-V$1,IF(J28=J29,10*V$1*J28,10*V$1*-1*ABS((J28-J29))),"")</f>
        <v/>
      </c>
      <c r="W28" t="str">
        <f t="shared" ref="W28" si="115">IF(K$34=11-W$1,IF(K28=K29,10*W$1*K28,10*W$1*-1*ABS((K28-K29))),"")</f>
        <v/>
      </c>
      <c r="X28" t="str">
        <f t="shared" ref="X28" si="116">IF(L$34=11-X$1,IF(L28=L29,10*X$1*L28,10*X$1*-1*ABS((L28-L29))),"")</f>
        <v/>
      </c>
      <c r="Y28" t="str">
        <f t="shared" ref="Y28" si="117">IF(M$34=11-Y$1,IF(M28=M29,10*Y$1*M28,10*Y$1*-1*ABS((M28-M29))),"")</f>
        <v/>
      </c>
      <c r="AA28" s="3"/>
    </row>
    <row r="29" spans="1:27" x14ac:dyDescent="0.2">
      <c r="A29" s="5"/>
      <c r="B29" s="5"/>
      <c r="C29" s="5"/>
      <c r="O29" s="5"/>
    </row>
    <row r="30" spans="1:27" x14ac:dyDescent="0.2">
      <c r="A30" s="5">
        <f>RANK(B30, B$2:B$100, 0)</f>
        <v>1</v>
      </c>
      <c r="B30" s="5">
        <f>SUM(P30:Y30)</f>
        <v>0</v>
      </c>
      <c r="C30" s="5" t="s">
        <v>9</v>
      </c>
      <c r="O30" s="5" t="s">
        <v>9</v>
      </c>
      <c r="P30" t="str">
        <f>IF(D$34=11-P$1,IF(D30=D31,10*P$1*D30,10*P$1*-1*ABS((D30-D31))),"")</f>
        <v/>
      </c>
      <c r="Q30" t="str">
        <f t="shared" ref="Q30" si="118">IF(E$34=11-Q$1,IF(E30=E31,10*Q$1*E30,10*Q$1*-1*ABS((E30-E31))),"")</f>
        <v/>
      </c>
      <c r="R30" t="str">
        <f t="shared" ref="R30" si="119">IF(F$34=11-R$1,IF(F30=F31,10*R$1*F30,10*R$1*-1*ABS((F30-F31))),"")</f>
        <v/>
      </c>
      <c r="S30" t="str">
        <f t="shared" ref="S30" si="120">IF(G$34=11-S$1,IF(G30=G31,10*S$1*G30,10*S$1*-1*ABS((G30-G31))),"")</f>
        <v/>
      </c>
      <c r="T30" t="str">
        <f t="shared" ref="T30" si="121">IF(H$34=11-T$1,IF(H30=H31,10*T$1*H30,10*T$1*-1*ABS((H30-H31))),"")</f>
        <v/>
      </c>
      <c r="U30" t="str">
        <f t="shared" ref="U30" si="122">IF(I$34=11-U$1,IF(I30=I31,10*U$1*I30,10*U$1*-1*ABS((I30-I31))),"")</f>
        <v/>
      </c>
      <c r="V30" t="str">
        <f t="shared" ref="V30" si="123">IF(J$34=11-V$1,IF(J30=J31,10*V$1*J30,10*V$1*-1*ABS((J30-J31))),"")</f>
        <v/>
      </c>
      <c r="W30" t="str">
        <f t="shared" ref="W30" si="124">IF(K$34=11-W$1,IF(K30=K31,10*W$1*K30,10*W$1*-1*ABS((K30-K31))),"")</f>
        <v/>
      </c>
      <c r="X30" t="str">
        <f t="shared" ref="X30" si="125">IF(L$34=11-X$1,IF(L30=L31,10*X$1*L30,10*X$1*-1*ABS((L30-L31))),"")</f>
        <v/>
      </c>
      <c r="Y30" t="str">
        <f t="shared" ref="Y30" si="126">IF(M$34=11-Y$1,IF(M30=M31,10*Y$1*M30,10*Y$1*-1*ABS((M30-M31))),"")</f>
        <v/>
      </c>
      <c r="AA30" s="3"/>
    </row>
    <row r="31" spans="1:27" x14ac:dyDescent="0.2">
      <c r="A31" s="5"/>
      <c r="B31" s="5"/>
      <c r="C31" s="5"/>
      <c r="O31" s="5"/>
    </row>
    <row r="33" spans="3:13" x14ac:dyDescent="0.2">
      <c r="C33" s="2" t="s">
        <v>27</v>
      </c>
      <c r="D33">
        <f>D2+D4+D6+D8+D10+D12+D14+D16+D18+D20+D22+D24+D26+D28+D30</f>
        <v>0</v>
      </c>
      <c r="E33">
        <f t="shared" ref="E33:M34" si="127">E2+E4+E6+E8+E10+E12+E14+E16+E18+E20+E22+E24+E26+E28+E30</f>
        <v>0</v>
      </c>
      <c r="F33">
        <f t="shared" si="127"/>
        <v>0</v>
      </c>
      <c r="G33">
        <f t="shared" si="127"/>
        <v>0</v>
      </c>
      <c r="H33">
        <f t="shared" si="127"/>
        <v>0</v>
      </c>
      <c r="I33">
        <f t="shared" si="127"/>
        <v>0</v>
      </c>
      <c r="J33">
        <f t="shared" si="127"/>
        <v>0</v>
      </c>
      <c r="K33">
        <f t="shared" si="127"/>
        <v>0</v>
      </c>
      <c r="L33">
        <f t="shared" si="127"/>
        <v>0</v>
      </c>
      <c r="M33">
        <f t="shared" si="127"/>
        <v>0</v>
      </c>
    </row>
    <row r="34" spans="3:13" x14ac:dyDescent="0.2">
      <c r="C34" s="2" t="s">
        <v>28</v>
      </c>
      <c r="D34">
        <f>D3+D5+D7+D9+D11+D13+D15+D17+D19+D21+D23+D25+D27+D29+D31</f>
        <v>0</v>
      </c>
      <c r="E34">
        <f t="shared" si="127"/>
        <v>0</v>
      </c>
      <c r="F34">
        <f t="shared" si="127"/>
        <v>0</v>
      </c>
      <c r="G34">
        <f t="shared" si="127"/>
        <v>0</v>
      </c>
      <c r="H34">
        <f t="shared" si="127"/>
        <v>0</v>
      </c>
      <c r="I34">
        <f t="shared" si="127"/>
        <v>0</v>
      </c>
      <c r="J34">
        <f t="shared" si="127"/>
        <v>0</v>
      </c>
      <c r="K34">
        <f t="shared" si="127"/>
        <v>0</v>
      </c>
      <c r="L34">
        <f t="shared" si="127"/>
        <v>0</v>
      </c>
      <c r="M34">
        <f t="shared" si="127"/>
        <v>0</v>
      </c>
    </row>
  </sheetData>
  <mergeCells count="60">
    <mergeCell ref="A30:A31"/>
    <mergeCell ref="B30:B31"/>
    <mergeCell ref="C30:C31"/>
    <mergeCell ref="O30:O31"/>
    <mergeCell ref="A26:A27"/>
    <mergeCell ref="B26:B27"/>
    <mergeCell ref="C26:C27"/>
    <mergeCell ref="O26:O27"/>
    <mergeCell ref="A28:A29"/>
    <mergeCell ref="B28:B29"/>
    <mergeCell ref="C28:C29"/>
    <mergeCell ref="O28:O29"/>
    <mergeCell ref="A22:A23"/>
    <mergeCell ref="B22:B23"/>
    <mergeCell ref="C22:C23"/>
    <mergeCell ref="O22:O23"/>
    <mergeCell ref="A24:A25"/>
    <mergeCell ref="B24:B25"/>
    <mergeCell ref="C24:C25"/>
    <mergeCell ref="O24:O25"/>
    <mergeCell ref="A18:A19"/>
    <mergeCell ref="B18:B19"/>
    <mergeCell ref="C18:C19"/>
    <mergeCell ref="O18:O19"/>
    <mergeCell ref="A20:A21"/>
    <mergeCell ref="B20:B21"/>
    <mergeCell ref="C20:C21"/>
    <mergeCell ref="O20:O21"/>
    <mergeCell ref="A14:A15"/>
    <mergeCell ref="B14:B15"/>
    <mergeCell ref="C14:C15"/>
    <mergeCell ref="O14:O15"/>
    <mergeCell ref="A16:A17"/>
    <mergeCell ref="B16:B17"/>
    <mergeCell ref="C16:C17"/>
    <mergeCell ref="O16:O17"/>
    <mergeCell ref="A10:A11"/>
    <mergeCell ref="B10:B11"/>
    <mergeCell ref="C10:C11"/>
    <mergeCell ref="O10:O11"/>
    <mergeCell ref="A12:A13"/>
    <mergeCell ref="B12:B13"/>
    <mergeCell ref="C12:C13"/>
    <mergeCell ref="O12:O13"/>
    <mergeCell ref="A6:A7"/>
    <mergeCell ref="B6:B7"/>
    <mergeCell ref="C6:C7"/>
    <mergeCell ref="O6:O7"/>
    <mergeCell ref="A8:A9"/>
    <mergeCell ref="B8:B9"/>
    <mergeCell ref="C8:C9"/>
    <mergeCell ref="O8:O9"/>
    <mergeCell ref="A2:A3"/>
    <mergeCell ref="B2:B3"/>
    <mergeCell ref="C2:C3"/>
    <mergeCell ref="O2:O3"/>
    <mergeCell ref="A4:A5"/>
    <mergeCell ref="B4:B5"/>
    <mergeCell ref="C4:C5"/>
    <mergeCell ref="O4:O5"/>
  </mergeCells>
  <conditionalFormatting sqref="A1:A2 A4 A6 A8 A10 A12 A14 A16 A18 A20 A22 A24 A28 A30 A32 A34:A1048576 A26">
    <cfRule type="top10" dxfId="27" priority="2" stopIfTrue="1" rank="3"/>
    <cfRule type="top10" dxfId="26" priority="7" bottom="1" rank="3"/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A4CA-05F6-7941-9281-6D20C656E101}">
  <dimension ref="A1:AK34"/>
  <sheetViews>
    <sheetView workbookViewId="0">
      <selection activeCell="J2" sqref="J2"/>
    </sheetView>
  </sheetViews>
  <sheetFormatPr baseColWidth="10" defaultRowHeight="16" x14ac:dyDescent="0.2"/>
  <cols>
    <col min="2" max="2" width="10.83203125" style="3"/>
    <col min="3" max="3" width="10.83203125" style="2"/>
  </cols>
  <sheetData>
    <row r="1" spans="1:37" x14ac:dyDescent="0.2">
      <c r="A1" s="3" t="s">
        <v>24</v>
      </c>
      <c r="B1" s="3" t="s">
        <v>25</v>
      </c>
      <c r="C1" s="2" t="s">
        <v>29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">
      <c r="A2" s="5">
        <f>RANK(B2, B$2:B$100, 0)</f>
        <v>5</v>
      </c>
      <c r="B2" s="5">
        <f>SUM(P2:Y2)</f>
        <v>-120</v>
      </c>
      <c r="C2" s="5" t="s">
        <v>7</v>
      </c>
      <c r="E2">
        <v>1</v>
      </c>
      <c r="G2">
        <v>0</v>
      </c>
      <c r="I2">
        <v>1</v>
      </c>
      <c r="K2">
        <v>0</v>
      </c>
      <c r="L2">
        <v>0</v>
      </c>
      <c r="M2">
        <v>0</v>
      </c>
      <c r="O2" s="5" t="str">
        <f>C2</f>
        <v>Caelyn</v>
      </c>
      <c r="P2" t="str">
        <f t="shared" ref="P2:Y2" si="0">IF(D$34=11-P$1,IF(D2=D3,10*P$1*D2,10*P$1*-1*ABS((D2-D3))),"")</f>
        <v/>
      </c>
      <c r="Q2">
        <f t="shared" si="0"/>
        <v>20</v>
      </c>
      <c r="R2" t="str">
        <f t="shared" si="0"/>
        <v/>
      </c>
      <c r="S2">
        <f t="shared" si="0"/>
        <v>0</v>
      </c>
      <c r="T2" t="str">
        <f t="shared" si="0"/>
        <v/>
      </c>
      <c r="U2">
        <f t="shared" si="0"/>
        <v>-60</v>
      </c>
      <c r="V2" t="str">
        <f t="shared" si="0"/>
        <v/>
      </c>
      <c r="W2">
        <f t="shared" si="0"/>
        <v>-80</v>
      </c>
      <c r="X2">
        <f t="shared" si="0"/>
        <v>0</v>
      </c>
      <c r="Y2">
        <f t="shared" si="0"/>
        <v>0</v>
      </c>
      <c r="AA2" s="4"/>
    </row>
    <row r="3" spans="1:37" x14ac:dyDescent="0.2">
      <c r="A3" s="5"/>
      <c r="B3" s="5"/>
      <c r="C3" s="5"/>
      <c r="E3">
        <v>1</v>
      </c>
      <c r="G3">
        <v>0</v>
      </c>
      <c r="I3">
        <v>0</v>
      </c>
      <c r="K3">
        <v>1</v>
      </c>
      <c r="L3">
        <v>0</v>
      </c>
      <c r="M3">
        <v>0</v>
      </c>
      <c r="O3" s="5"/>
      <c r="AA3" s="4"/>
    </row>
    <row r="4" spans="1:37" x14ac:dyDescent="0.2">
      <c r="A4" s="5">
        <f>RANK(B4, B$2:B$100, 0)</f>
        <v>2</v>
      </c>
      <c r="B4" s="5">
        <f>SUM(P4:Y4)</f>
        <v>80</v>
      </c>
      <c r="C4" s="5" t="s">
        <v>6</v>
      </c>
      <c r="E4">
        <v>1</v>
      </c>
      <c r="G4">
        <v>0</v>
      </c>
      <c r="I4">
        <v>1</v>
      </c>
      <c r="K4">
        <v>0</v>
      </c>
      <c r="L4">
        <v>0</v>
      </c>
      <c r="M4">
        <v>0</v>
      </c>
      <c r="O4" s="5" t="str">
        <f>C4</f>
        <v>Jeff</v>
      </c>
      <c r="P4" t="str">
        <f t="shared" ref="P4:Y4" si="1">IF(D$34=11-P$1,IF(D4=D5,10*P$1*D4,10*P$1*-1*ABS((D4-D5))),"")</f>
        <v/>
      </c>
      <c r="Q4">
        <f t="shared" si="1"/>
        <v>20</v>
      </c>
      <c r="R4" t="str">
        <f t="shared" si="1"/>
        <v/>
      </c>
      <c r="S4">
        <f t="shared" si="1"/>
        <v>0</v>
      </c>
      <c r="T4" t="str">
        <f t="shared" si="1"/>
        <v/>
      </c>
      <c r="U4">
        <f t="shared" si="1"/>
        <v>60</v>
      </c>
      <c r="V4" t="str">
        <f t="shared" si="1"/>
        <v/>
      </c>
      <c r="W4">
        <f t="shared" si="1"/>
        <v>0</v>
      </c>
      <c r="X4">
        <f t="shared" si="1"/>
        <v>0</v>
      </c>
      <c r="Y4">
        <f t="shared" si="1"/>
        <v>0</v>
      </c>
      <c r="AA4" s="4"/>
    </row>
    <row r="5" spans="1:37" x14ac:dyDescent="0.2">
      <c r="A5" s="5"/>
      <c r="B5" s="5"/>
      <c r="C5" s="5"/>
      <c r="E5">
        <v>1</v>
      </c>
      <c r="G5">
        <v>0</v>
      </c>
      <c r="I5">
        <v>1</v>
      </c>
      <c r="K5">
        <v>0</v>
      </c>
      <c r="L5">
        <v>0</v>
      </c>
      <c r="M5">
        <v>0</v>
      </c>
      <c r="O5" s="5"/>
      <c r="AA5" s="4"/>
    </row>
    <row r="6" spans="1:37" x14ac:dyDescent="0.2">
      <c r="A6" s="5">
        <f>RANK(B6, B$2:B$100, 0)</f>
        <v>6</v>
      </c>
      <c r="B6" s="5">
        <f>SUM(P6:Y6)</f>
        <v>-240</v>
      </c>
      <c r="C6" s="5" t="s">
        <v>31</v>
      </c>
      <c r="E6">
        <v>1</v>
      </c>
      <c r="G6">
        <v>1</v>
      </c>
      <c r="I6">
        <v>1</v>
      </c>
      <c r="K6">
        <v>1</v>
      </c>
      <c r="L6">
        <v>0</v>
      </c>
      <c r="M6">
        <v>0</v>
      </c>
      <c r="O6" s="5" t="str">
        <f>C6</f>
        <v>Brooklyn</v>
      </c>
      <c r="P6" t="str">
        <f t="shared" ref="P6:Y6" si="2">IF(D$34=11-P$1,IF(D6=D7,10*P$1*D6,10*P$1*-1*ABS((D6-D7))),"")</f>
        <v/>
      </c>
      <c r="Q6">
        <f t="shared" si="2"/>
        <v>20</v>
      </c>
      <c r="R6" t="str">
        <f t="shared" si="2"/>
        <v/>
      </c>
      <c r="S6">
        <f t="shared" si="2"/>
        <v>-120</v>
      </c>
      <c r="T6" t="str">
        <f t="shared" si="2"/>
        <v/>
      </c>
      <c r="U6">
        <f t="shared" si="2"/>
        <v>-60</v>
      </c>
      <c r="V6" t="str">
        <f t="shared" si="2"/>
        <v/>
      </c>
      <c r="W6">
        <f t="shared" si="2"/>
        <v>-80</v>
      </c>
      <c r="X6">
        <f t="shared" si="2"/>
        <v>0</v>
      </c>
      <c r="Y6">
        <f t="shared" si="2"/>
        <v>0</v>
      </c>
      <c r="AA6" s="4"/>
    </row>
    <row r="7" spans="1:37" x14ac:dyDescent="0.2">
      <c r="A7" s="5"/>
      <c r="B7" s="5"/>
      <c r="C7" s="5"/>
      <c r="E7">
        <v>1</v>
      </c>
      <c r="G7">
        <v>4</v>
      </c>
      <c r="I7">
        <v>0</v>
      </c>
      <c r="K7">
        <v>0</v>
      </c>
      <c r="L7">
        <v>0</v>
      </c>
      <c r="M7">
        <v>0</v>
      </c>
      <c r="O7" s="5"/>
      <c r="AA7" s="4"/>
    </row>
    <row r="8" spans="1:37" x14ac:dyDescent="0.2">
      <c r="A8" s="5">
        <f>RANK(B8, B$2:B$100, 0)</f>
        <v>7</v>
      </c>
      <c r="B8" s="5">
        <f>SUM(P8:Y8)</f>
        <v>-380</v>
      </c>
      <c r="C8" s="5" t="s">
        <v>4</v>
      </c>
      <c r="E8">
        <v>1</v>
      </c>
      <c r="G8">
        <v>2</v>
      </c>
      <c r="I8">
        <v>2</v>
      </c>
      <c r="K8">
        <v>0</v>
      </c>
      <c r="L8">
        <v>0</v>
      </c>
      <c r="M8">
        <v>0</v>
      </c>
      <c r="O8" s="5" t="str">
        <f>C8</f>
        <v>Rachel</v>
      </c>
      <c r="P8" t="str">
        <f t="shared" ref="P8:Y8" si="3">IF(D$34=11-P$1,IF(D8=D9,10*P$1*D8,10*P$1*-1*ABS((D8-D9))),"")</f>
        <v/>
      </c>
      <c r="Q8">
        <f t="shared" si="3"/>
        <v>-40</v>
      </c>
      <c r="R8" t="str">
        <f t="shared" si="3"/>
        <v/>
      </c>
      <c r="S8">
        <f t="shared" si="3"/>
        <v>-40</v>
      </c>
      <c r="T8" t="str">
        <f t="shared" si="3"/>
        <v/>
      </c>
      <c r="U8">
        <f t="shared" si="3"/>
        <v>-120</v>
      </c>
      <c r="V8" t="str">
        <f t="shared" si="3"/>
        <v/>
      </c>
      <c r="W8">
        <f t="shared" si="3"/>
        <v>0</v>
      </c>
      <c r="X8">
        <f t="shared" si="3"/>
        <v>-180</v>
      </c>
      <c r="Y8">
        <f t="shared" si="3"/>
        <v>0</v>
      </c>
      <c r="AA8" s="4"/>
    </row>
    <row r="9" spans="1:37" x14ac:dyDescent="0.2">
      <c r="A9" s="5"/>
      <c r="B9" s="5"/>
      <c r="C9" s="5"/>
      <c r="E9">
        <v>3</v>
      </c>
      <c r="G9">
        <v>1</v>
      </c>
      <c r="I9">
        <v>0</v>
      </c>
      <c r="K9">
        <v>0</v>
      </c>
      <c r="L9">
        <v>2</v>
      </c>
      <c r="M9">
        <v>0</v>
      </c>
      <c r="O9" s="5"/>
      <c r="AA9" s="4"/>
    </row>
    <row r="10" spans="1:37" x14ac:dyDescent="0.2">
      <c r="A10" s="5">
        <f>RANK(B10, B$2:B$100, 0)</f>
        <v>8</v>
      </c>
      <c r="B10" s="5">
        <f>SUM(P10:Y10)</f>
        <v>-480</v>
      </c>
      <c r="C10" s="5" t="s">
        <v>8</v>
      </c>
      <c r="E10">
        <v>1</v>
      </c>
      <c r="G10">
        <v>2</v>
      </c>
      <c r="I10">
        <v>2</v>
      </c>
      <c r="K10">
        <v>3</v>
      </c>
      <c r="L10">
        <v>0</v>
      </c>
      <c r="M10">
        <v>0</v>
      </c>
      <c r="O10" s="5" t="str">
        <f>C10</f>
        <v>Paul</v>
      </c>
      <c r="P10" t="str">
        <f t="shared" ref="P10:Y10" si="4">IF(D$34=11-P$1,IF(D10=D11,10*P$1*D10,10*P$1*-1*ABS((D10-D11))),"")</f>
        <v/>
      </c>
      <c r="Q10">
        <f t="shared" si="4"/>
        <v>-20</v>
      </c>
      <c r="R10" t="str">
        <f t="shared" si="4"/>
        <v/>
      </c>
      <c r="S10">
        <f t="shared" si="4"/>
        <v>-80</v>
      </c>
      <c r="T10" t="str">
        <f t="shared" si="4"/>
        <v/>
      </c>
      <c r="U10">
        <f t="shared" si="4"/>
        <v>-120</v>
      </c>
      <c r="V10" t="str">
        <f t="shared" si="4"/>
        <v/>
      </c>
      <c r="W10">
        <f t="shared" si="4"/>
        <v>-160</v>
      </c>
      <c r="X10">
        <f t="shared" si="4"/>
        <v>0</v>
      </c>
      <c r="Y10">
        <f t="shared" si="4"/>
        <v>-100</v>
      </c>
      <c r="AA10" s="4"/>
    </row>
    <row r="11" spans="1:37" x14ac:dyDescent="0.2">
      <c r="A11" s="5"/>
      <c r="B11" s="5"/>
      <c r="C11" s="5"/>
      <c r="E11">
        <v>2</v>
      </c>
      <c r="G11">
        <v>0</v>
      </c>
      <c r="I11">
        <v>0</v>
      </c>
      <c r="K11">
        <v>1</v>
      </c>
      <c r="L11">
        <v>0</v>
      </c>
      <c r="M11">
        <v>1</v>
      </c>
      <c r="O11" s="5"/>
      <c r="AA11" s="4"/>
    </row>
    <row r="12" spans="1:37" x14ac:dyDescent="0.2">
      <c r="A12" s="5">
        <f>RANK(B12, B$2:B$100, 0)</f>
        <v>3</v>
      </c>
      <c r="B12" s="5">
        <f>SUM(P12:Y12)</f>
        <v>20</v>
      </c>
      <c r="C12" s="5" t="s">
        <v>9</v>
      </c>
      <c r="E12">
        <v>1</v>
      </c>
      <c r="G12">
        <v>0</v>
      </c>
      <c r="I12">
        <v>0</v>
      </c>
      <c r="K12">
        <v>0</v>
      </c>
      <c r="L12">
        <v>0</v>
      </c>
      <c r="M12">
        <v>0</v>
      </c>
      <c r="O12" s="5" t="str">
        <f>C12</f>
        <v>Morgan</v>
      </c>
      <c r="P12" t="str">
        <f t="shared" ref="P12:Y12" si="5">IF(D$34=11-P$1,IF(D12=D13,10*P$1*D12,10*P$1*-1*ABS((D12-D13))),"")</f>
        <v/>
      </c>
      <c r="Q12">
        <f t="shared" si="5"/>
        <v>20</v>
      </c>
      <c r="R12" t="str">
        <f t="shared" si="5"/>
        <v/>
      </c>
      <c r="S12">
        <f t="shared" si="5"/>
        <v>0</v>
      </c>
      <c r="T12" t="str">
        <f t="shared" si="5"/>
        <v/>
      </c>
      <c r="U12">
        <f t="shared" si="5"/>
        <v>0</v>
      </c>
      <c r="V12" t="str">
        <f t="shared" si="5"/>
        <v/>
      </c>
      <c r="W12">
        <f t="shared" si="5"/>
        <v>0</v>
      </c>
      <c r="X12">
        <f t="shared" si="5"/>
        <v>0</v>
      </c>
      <c r="Y12">
        <f t="shared" si="5"/>
        <v>0</v>
      </c>
      <c r="AA12" s="4"/>
    </row>
    <row r="13" spans="1:37" x14ac:dyDescent="0.2">
      <c r="A13" s="5"/>
      <c r="B13" s="5"/>
      <c r="C13" s="5"/>
      <c r="E13">
        <v>1</v>
      </c>
      <c r="G13">
        <v>0</v>
      </c>
      <c r="I13">
        <v>0</v>
      </c>
      <c r="K13">
        <v>0</v>
      </c>
      <c r="L13">
        <v>0</v>
      </c>
      <c r="M13">
        <v>0</v>
      </c>
      <c r="O13" s="5"/>
      <c r="AA13" s="4"/>
    </row>
    <row r="14" spans="1:37" x14ac:dyDescent="0.2">
      <c r="A14" s="5">
        <f>RANK(B14, B$2:B$100, 0)</f>
        <v>1</v>
      </c>
      <c r="B14" s="5">
        <f>SUM(P14:Y14)</f>
        <v>160</v>
      </c>
      <c r="C14" s="5" t="s">
        <v>0</v>
      </c>
      <c r="E14">
        <v>0</v>
      </c>
      <c r="G14">
        <v>1</v>
      </c>
      <c r="I14">
        <v>2</v>
      </c>
      <c r="K14">
        <v>1</v>
      </c>
      <c r="L14">
        <v>0</v>
      </c>
      <c r="M14">
        <v>0</v>
      </c>
      <c r="O14" s="5" t="str">
        <f>C14</f>
        <v>Caden</v>
      </c>
      <c r="P14" t="str">
        <f t="shared" ref="P14:Y14" si="6">IF(D$34=11-P$1,IF(D14=D15,10*P$1*D14,10*P$1*-1*ABS((D14-D15))),"")</f>
        <v/>
      </c>
      <c r="Q14">
        <f t="shared" si="6"/>
        <v>0</v>
      </c>
      <c r="R14" t="str">
        <f t="shared" si="6"/>
        <v/>
      </c>
      <c r="S14">
        <f t="shared" si="6"/>
        <v>-40</v>
      </c>
      <c r="T14" t="str">
        <f t="shared" si="6"/>
        <v/>
      </c>
      <c r="U14">
        <f t="shared" si="6"/>
        <v>120</v>
      </c>
      <c r="V14" t="str">
        <f t="shared" si="6"/>
        <v/>
      </c>
      <c r="W14">
        <f t="shared" si="6"/>
        <v>80</v>
      </c>
      <c r="X14">
        <f t="shared" si="6"/>
        <v>0</v>
      </c>
      <c r="Y14">
        <f t="shared" si="6"/>
        <v>0</v>
      </c>
      <c r="AA14" s="4"/>
    </row>
    <row r="15" spans="1:37" x14ac:dyDescent="0.2">
      <c r="A15" s="5"/>
      <c r="B15" s="5"/>
      <c r="C15" s="5"/>
      <c r="E15">
        <v>0</v>
      </c>
      <c r="G15">
        <v>0</v>
      </c>
      <c r="I15">
        <v>2</v>
      </c>
      <c r="K15">
        <v>1</v>
      </c>
      <c r="L15">
        <v>0</v>
      </c>
      <c r="M15">
        <v>0</v>
      </c>
      <c r="O15" s="5"/>
      <c r="AA15" s="4"/>
    </row>
    <row r="16" spans="1:37" x14ac:dyDescent="0.2">
      <c r="A16" s="5">
        <f>RANK(B16, B$2:B$100, 0)</f>
        <v>4</v>
      </c>
      <c r="B16" s="5">
        <f>SUM(P16:Y16)</f>
        <v>0</v>
      </c>
      <c r="C16" s="5" t="s">
        <v>5</v>
      </c>
      <c r="E16">
        <v>1</v>
      </c>
      <c r="G16">
        <v>2</v>
      </c>
      <c r="I16">
        <v>1</v>
      </c>
      <c r="K16">
        <v>0</v>
      </c>
      <c r="L16">
        <v>0</v>
      </c>
      <c r="M16">
        <v>0</v>
      </c>
      <c r="O16" s="5" t="str">
        <f>C16</f>
        <v>Annie</v>
      </c>
      <c r="P16" t="str">
        <f t="shared" ref="P16:Y16" si="7">IF(D$34=11-P$1,IF(D16=D17,10*P$1*D16,10*P$1*-1*ABS((D16-D17))),"")</f>
        <v/>
      </c>
      <c r="Q16">
        <f t="shared" si="7"/>
        <v>-20</v>
      </c>
      <c r="R16" t="str">
        <f t="shared" si="7"/>
        <v/>
      </c>
      <c r="S16">
        <f t="shared" si="7"/>
        <v>80</v>
      </c>
      <c r="T16" t="str">
        <f t="shared" si="7"/>
        <v/>
      </c>
      <c r="U16">
        <f t="shared" si="7"/>
        <v>-60</v>
      </c>
      <c r="V16" t="str">
        <f t="shared" si="7"/>
        <v/>
      </c>
      <c r="W16">
        <f t="shared" si="7"/>
        <v>0</v>
      </c>
      <c r="X16">
        <f t="shared" si="7"/>
        <v>0</v>
      </c>
      <c r="Y16">
        <f t="shared" si="7"/>
        <v>0</v>
      </c>
      <c r="AA16" s="4"/>
    </row>
    <row r="17" spans="1:27" x14ac:dyDescent="0.2">
      <c r="A17" s="5"/>
      <c r="B17" s="5"/>
      <c r="C17" s="5"/>
      <c r="E17">
        <v>0</v>
      </c>
      <c r="G17">
        <v>2</v>
      </c>
      <c r="I17">
        <v>2</v>
      </c>
      <c r="K17">
        <v>0</v>
      </c>
      <c r="L17">
        <v>0</v>
      </c>
      <c r="M17">
        <v>0</v>
      </c>
      <c r="O17" s="5"/>
    </row>
    <row r="18" spans="1:27" x14ac:dyDescent="0.2">
      <c r="A18" s="5"/>
      <c r="B18" s="5"/>
      <c r="C18" s="5"/>
      <c r="O18" s="5"/>
      <c r="AA18" s="3"/>
    </row>
    <row r="19" spans="1:27" x14ac:dyDescent="0.2">
      <c r="A19" s="5"/>
      <c r="B19" s="5"/>
      <c r="C19" s="5"/>
      <c r="O19" s="5"/>
    </row>
    <row r="20" spans="1:27" x14ac:dyDescent="0.2">
      <c r="A20" s="5"/>
      <c r="B20" s="5"/>
      <c r="C20" s="5"/>
      <c r="O20" s="5"/>
      <c r="AA20" s="3"/>
    </row>
    <row r="21" spans="1:27" x14ac:dyDescent="0.2">
      <c r="A21" s="5"/>
      <c r="B21" s="5"/>
      <c r="C21" s="5"/>
      <c r="O21" s="5"/>
    </row>
    <row r="22" spans="1:27" x14ac:dyDescent="0.2">
      <c r="A22" s="5"/>
      <c r="B22" s="5"/>
      <c r="C22" s="5"/>
      <c r="O22" s="5"/>
      <c r="AA22" s="3"/>
    </row>
    <row r="23" spans="1:27" x14ac:dyDescent="0.2">
      <c r="A23" s="5"/>
      <c r="B23" s="5"/>
      <c r="C23" s="5"/>
      <c r="O23" s="5"/>
    </row>
    <row r="24" spans="1:27" x14ac:dyDescent="0.2">
      <c r="A24" s="5"/>
      <c r="B24" s="5"/>
      <c r="C24" s="5"/>
      <c r="O24" s="5"/>
      <c r="AA24" s="3"/>
    </row>
    <row r="25" spans="1:27" x14ac:dyDescent="0.2">
      <c r="A25" s="5"/>
      <c r="B25" s="5"/>
      <c r="C25" s="5"/>
      <c r="O25" s="5"/>
    </row>
    <row r="26" spans="1:27" x14ac:dyDescent="0.2">
      <c r="A26" s="5"/>
      <c r="B26" s="5"/>
      <c r="C26" s="5"/>
      <c r="O26" s="5"/>
      <c r="AA26" s="3"/>
    </row>
    <row r="27" spans="1:27" x14ac:dyDescent="0.2">
      <c r="A27" s="5"/>
      <c r="B27" s="5"/>
      <c r="C27" s="5"/>
      <c r="O27" s="5"/>
    </row>
    <row r="28" spans="1:27" x14ac:dyDescent="0.2">
      <c r="A28" s="5"/>
      <c r="B28" s="5"/>
      <c r="C28" s="5"/>
      <c r="O28" s="5"/>
      <c r="AA28" s="3"/>
    </row>
    <row r="29" spans="1:27" x14ac:dyDescent="0.2">
      <c r="A29" s="5"/>
      <c r="B29" s="5"/>
      <c r="C29" s="5"/>
      <c r="O29" s="5"/>
    </row>
    <row r="30" spans="1:27" x14ac:dyDescent="0.2">
      <c r="A30" s="5"/>
      <c r="B30" s="5"/>
      <c r="C30" s="5"/>
      <c r="O30" s="5"/>
      <c r="AA30" s="3"/>
    </row>
    <row r="31" spans="1:27" x14ac:dyDescent="0.2">
      <c r="A31" s="5"/>
      <c r="B31" s="5"/>
      <c r="C31" s="5"/>
      <c r="O31" s="5"/>
    </row>
    <row r="33" spans="3:13" x14ac:dyDescent="0.2">
      <c r="C33" s="2" t="s">
        <v>27</v>
      </c>
      <c r="D33">
        <f t="shared" ref="D33:M33" si="8">D2+D4+D6+D8+D10+D12+D14+D16+D18+D20+D22+D24+D26+D28+D30</f>
        <v>0</v>
      </c>
      <c r="E33">
        <f t="shared" si="8"/>
        <v>7</v>
      </c>
      <c r="F33">
        <f t="shared" si="8"/>
        <v>0</v>
      </c>
      <c r="G33">
        <f t="shared" si="8"/>
        <v>8</v>
      </c>
      <c r="H33">
        <f t="shared" si="8"/>
        <v>0</v>
      </c>
      <c r="I33">
        <f t="shared" si="8"/>
        <v>10</v>
      </c>
      <c r="J33">
        <f t="shared" si="8"/>
        <v>0</v>
      </c>
      <c r="K33">
        <f t="shared" si="8"/>
        <v>5</v>
      </c>
      <c r="L33">
        <f t="shared" si="8"/>
        <v>0</v>
      </c>
      <c r="M33">
        <f t="shared" si="8"/>
        <v>0</v>
      </c>
    </row>
    <row r="34" spans="3:13" x14ac:dyDescent="0.2">
      <c r="C34" s="2" t="s">
        <v>28</v>
      </c>
      <c r="D34">
        <f t="shared" ref="D34:M34" si="9">D3+D5+D7+D9+D11+D13+D15+D17+D19+D21+D23+D25+D27+D29+D31</f>
        <v>0</v>
      </c>
      <c r="E34">
        <f t="shared" si="9"/>
        <v>9</v>
      </c>
      <c r="F34">
        <f t="shared" si="9"/>
        <v>0</v>
      </c>
      <c r="G34">
        <f t="shared" si="9"/>
        <v>7</v>
      </c>
      <c r="H34">
        <f t="shared" si="9"/>
        <v>0</v>
      </c>
      <c r="I34">
        <f t="shared" si="9"/>
        <v>5</v>
      </c>
      <c r="J34">
        <f t="shared" si="9"/>
        <v>0</v>
      </c>
      <c r="K34">
        <f t="shared" si="9"/>
        <v>3</v>
      </c>
      <c r="L34">
        <f t="shared" si="9"/>
        <v>2</v>
      </c>
      <c r="M34">
        <f t="shared" si="9"/>
        <v>1</v>
      </c>
    </row>
  </sheetData>
  <mergeCells count="60">
    <mergeCell ref="A2:A3"/>
    <mergeCell ref="B2:B3"/>
    <mergeCell ref="C2:C3"/>
    <mergeCell ref="O2:O3"/>
    <mergeCell ref="A4:A5"/>
    <mergeCell ref="B4:B5"/>
    <mergeCell ref="C4:C5"/>
    <mergeCell ref="O4:O5"/>
    <mergeCell ref="A6:A7"/>
    <mergeCell ref="B6:B7"/>
    <mergeCell ref="C6:C7"/>
    <mergeCell ref="O6:O7"/>
    <mergeCell ref="A8:A9"/>
    <mergeCell ref="B8:B9"/>
    <mergeCell ref="C8:C9"/>
    <mergeCell ref="O8:O9"/>
    <mergeCell ref="A10:A11"/>
    <mergeCell ref="B10:B11"/>
    <mergeCell ref="C10:C11"/>
    <mergeCell ref="O10:O11"/>
    <mergeCell ref="A12:A13"/>
    <mergeCell ref="B12:B13"/>
    <mergeCell ref="C12:C13"/>
    <mergeCell ref="O12:O13"/>
    <mergeCell ref="A14:A15"/>
    <mergeCell ref="B14:B15"/>
    <mergeCell ref="C14:C15"/>
    <mergeCell ref="O14:O15"/>
    <mergeCell ref="A16:A17"/>
    <mergeCell ref="B16:B17"/>
    <mergeCell ref="C16:C17"/>
    <mergeCell ref="O16:O17"/>
    <mergeCell ref="A18:A19"/>
    <mergeCell ref="B18:B19"/>
    <mergeCell ref="C18:C19"/>
    <mergeCell ref="O18:O19"/>
    <mergeCell ref="A20:A21"/>
    <mergeCell ref="B20:B21"/>
    <mergeCell ref="C20:C21"/>
    <mergeCell ref="O20:O21"/>
    <mergeCell ref="A22:A23"/>
    <mergeCell ref="B22:B23"/>
    <mergeCell ref="C22:C23"/>
    <mergeCell ref="O22:O23"/>
    <mergeCell ref="A24:A25"/>
    <mergeCell ref="B24:B25"/>
    <mergeCell ref="C24:C25"/>
    <mergeCell ref="O24:O25"/>
    <mergeCell ref="A30:A31"/>
    <mergeCell ref="B30:B31"/>
    <mergeCell ref="C30:C31"/>
    <mergeCell ref="O30:O31"/>
    <mergeCell ref="A26:A27"/>
    <mergeCell ref="B26:B27"/>
    <mergeCell ref="C26:C27"/>
    <mergeCell ref="O26:O27"/>
    <mergeCell ref="A28:A29"/>
    <mergeCell ref="B28:B29"/>
    <mergeCell ref="C28:C29"/>
    <mergeCell ref="O28:O29"/>
  </mergeCells>
  <conditionalFormatting sqref="A1:A2 A4 A6 A8 A10 A12 A14 A16 A18 A20 A22 A24 A28 A30 A32 A34:A1048576 A26">
    <cfRule type="top10" dxfId="25" priority="1" stopIfTrue="1" bottom="1" rank="3"/>
    <cfRule type="top10" dxfId="24" priority="2" rank="3"/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6A95-97F6-A54A-ACFD-05CC4F290610}">
  <dimension ref="A1:AK34"/>
  <sheetViews>
    <sheetView topLeftCell="G1" zoomScale="110" zoomScaleNormal="110" workbookViewId="0">
      <selection activeCell="X2" sqref="X2"/>
    </sheetView>
  </sheetViews>
  <sheetFormatPr baseColWidth="10" defaultRowHeight="16" x14ac:dyDescent="0.2"/>
  <cols>
    <col min="2" max="2" width="10.83203125" style="3"/>
    <col min="3" max="3" width="10.83203125" style="2"/>
  </cols>
  <sheetData>
    <row r="1" spans="1:37" x14ac:dyDescent="0.2">
      <c r="A1" s="3" t="s">
        <v>24</v>
      </c>
      <c r="B1" s="3" t="s">
        <v>25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  <c r="AB1" s="1">
        <v>1</v>
      </c>
      <c r="AC1" s="1">
        <v>2</v>
      </c>
      <c r="AD1" s="1">
        <v>3</v>
      </c>
      <c r="AE1" s="1">
        <v>4</v>
      </c>
      <c r="AF1" s="1">
        <v>5</v>
      </c>
      <c r="AG1" s="1">
        <v>6</v>
      </c>
      <c r="AH1" s="1">
        <v>7</v>
      </c>
      <c r="AI1" s="1">
        <v>8</v>
      </c>
      <c r="AJ1" s="1">
        <v>9</v>
      </c>
      <c r="AK1" s="1">
        <v>10</v>
      </c>
    </row>
    <row r="2" spans="1:37" x14ac:dyDescent="0.2">
      <c r="A2" s="5">
        <f>RANK(B2, B$2:B$100, 0)</f>
        <v>8</v>
      </c>
      <c r="B2" s="5">
        <f>SUM(P2:Y2)</f>
        <v>-10</v>
      </c>
      <c r="C2" s="5" t="s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O2" s="5" t="s">
        <v>0</v>
      </c>
      <c r="P2">
        <f t="shared" ref="P2:Y2" si="0">IF(D2=D3,10*P$1*D2,10*P$1*-1*ABS((D2-D3)))</f>
        <v>0</v>
      </c>
      <c r="Q2">
        <f t="shared" si="0"/>
        <v>0</v>
      </c>
      <c r="R2">
        <f t="shared" si="0"/>
        <v>30</v>
      </c>
      <c r="S2">
        <f t="shared" si="0"/>
        <v>0</v>
      </c>
      <c r="T2">
        <f t="shared" si="0"/>
        <v>50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-90</v>
      </c>
      <c r="Y2">
        <f t="shared" si="0"/>
        <v>0</v>
      </c>
      <c r="AA2" s="4" t="s">
        <v>0</v>
      </c>
      <c r="AB2">
        <f>P2</f>
        <v>0</v>
      </c>
      <c r="AC2">
        <f t="shared" ref="AC2:AK2" si="1">Q2</f>
        <v>0</v>
      </c>
      <c r="AD2">
        <f t="shared" si="1"/>
        <v>30</v>
      </c>
      <c r="AE2">
        <f t="shared" si="1"/>
        <v>0</v>
      </c>
      <c r="AF2">
        <f t="shared" si="1"/>
        <v>50</v>
      </c>
      <c r="AG2">
        <f t="shared" si="1"/>
        <v>0</v>
      </c>
      <c r="AH2">
        <f t="shared" si="1"/>
        <v>0</v>
      </c>
      <c r="AI2">
        <f t="shared" si="1"/>
        <v>0</v>
      </c>
      <c r="AJ2">
        <f t="shared" si="1"/>
        <v>-90</v>
      </c>
      <c r="AK2">
        <f t="shared" si="1"/>
        <v>0</v>
      </c>
    </row>
    <row r="3" spans="1:37" x14ac:dyDescent="0.2">
      <c r="A3" s="5"/>
      <c r="B3" s="5"/>
      <c r="C3" s="5"/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O3" s="5"/>
      <c r="AA3" s="4" t="s">
        <v>1</v>
      </c>
      <c r="AB3">
        <f>P4</f>
        <v>-10</v>
      </c>
      <c r="AC3">
        <f t="shared" ref="AC3:AK3" si="2">Q4</f>
        <v>0</v>
      </c>
      <c r="AD3">
        <f t="shared" si="2"/>
        <v>0</v>
      </c>
      <c r="AE3">
        <f t="shared" si="2"/>
        <v>0</v>
      </c>
      <c r="AF3">
        <f t="shared" si="2"/>
        <v>-50</v>
      </c>
      <c r="AG3">
        <f t="shared" si="2"/>
        <v>0</v>
      </c>
      <c r="AH3">
        <f t="shared" si="2"/>
        <v>0</v>
      </c>
      <c r="AI3">
        <f t="shared" si="2"/>
        <v>0</v>
      </c>
      <c r="AJ3">
        <f t="shared" si="2"/>
        <v>0</v>
      </c>
      <c r="AK3">
        <f t="shared" si="2"/>
        <v>0</v>
      </c>
    </row>
    <row r="4" spans="1:37" x14ac:dyDescent="0.2">
      <c r="A4" s="5">
        <f>RANK(B4, B$2:B$100, 0)</f>
        <v>11</v>
      </c>
      <c r="B4" s="5">
        <f>SUM(P4:Y4)</f>
        <v>-60</v>
      </c>
      <c r="C4" s="5" t="s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O4" s="5" t="s">
        <v>1</v>
      </c>
      <c r="P4">
        <f t="shared" ref="P4:Y4" si="3">IF(D4=D5,10*P$1*D4,10*P$1*-1*ABS((D4-D5)))</f>
        <v>-10</v>
      </c>
      <c r="Q4">
        <f t="shared" si="3"/>
        <v>0</v>
      </c>
      <c r="R4">
        <f t="shared" si="3"/>
        <v>0</v>
      </c>
      <c r="S4">
        <f t="shared" si="3"/>
        <v>0</v>
      </c>
      <c r="T4">
        <f t="shared" si="3"/>
        <v>-50</v>
      </c>
      <c r="U4">
        <f t="shared" si="3"/>
        <v>0</v>
      </c>
      <c r="V4">
        <f t="shared" si="3"/>
        <v>0</v>
      </c>
      <c r="W4">
        <f t="shared" si="3"/>
        <v>0</v>
      </c>
      <c r="X4">
        <f t="shared" si="3"/>
        <v>0</v>
      </c>
      <c r="Y4">
        <f t="shared" si="3"/>
        <v>0</v>
      </c>
      <c r="AA4" s="4" t="s">
        <v>26</v>
      </c>
      <c r="AB4">
        <f>P6</f>
        <v>0</v>
      </c>
      <c r="AC4">
        <f t="shared" ref="AC4:AK4" si="4">Q6</f>
        <v>0</v>
      </c>
      <c r="AD4">
        <f t="shared" si="4"/>
        <v>-30</v>
      </c>
      <c r="AE4">
        <f t="shared" si="4"/>
        <v>0</v>
      </c>
      <c r="AF4">
        <f t="shared" si="4"/>
        <v>0</v>
      </c>
      <c r="AG4">
        <f t="shared" si="4"/>
        <v>0</v>
      </c>
      <c r="AH4">
        <f t="shared" si="4"/>
        <v>0</v>
      </c>
      <c r="AI4">
        <f t="shared" si="4"/>
        <v>0</v>
      </c>
      <c r="AJ4">
        <f t="shared" si="4"/>
        <v>0</v>
      </c>
      <c r="AK4">
        <f t="shared" si="4"/>
        <v>0</v>
      </c>
    </row>
    <row r="5" spans="1:37" x14ac:dyDescent="0.2">
      <c r="A5" s="5"/>
      <c r="B5" s="5"/>
      <c r="C5" s="5"/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O5" s="5"/>
      <c r="AA5" s="4" t="s">
        <v>22</v>
      </c>
      <c r="AB5">
        <f>P8</f>
        <v>0</v>
      </c>
      <c r="AC5">
        <f t="shared" ref="AC5:AK5" si="5">Q8</f>
        <v>0</v>
      </c>
      <c r="AD5">
        <f t="shared" si="5"/>
        <v>30</v>
      </c>
      <c r="AE5">
        <f t="shared" si="5"/>
        <v>0</v>
      </c>
      <c r="AF5">
        <f t="shared" si="5"/>
        <v>0</v>
      </c>
      <c r="AG5">
        <f t="shared" si="5"/>
        <v>-120</v>
      </c>
      <c r="AH5">
        <f t="shared" si="5"/>
        <v>0</v>
      </c>
      <c r="AI5">
        <f t="shared" si="5"/>
        <v>-80</v>
      </c>
      <c r="AJ5">
        <f t="shared" si="5"/>
        <v>0</v>
      </c>
      <c r="AK5">
        <f t="shared" si="5"/>
        <v>0</v>
      </c>
    </row>
    <row r="6" spans="1:37" x14ac:dyDescent="0.2">
      <c r="A6" s="5">
        <f>RANK(B6, B$2:B$100, 0)</f>
        <v>9</v>
      </c>
      <c r="B6" s="5">
        <f>SUM(P6:Y6)</f>
        <v>-30</v>
      </c>
      <c r="C6" s="5" t="s">
        <v>26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s="5" t="s">
        <v>26</v>
      </c>
      <c r="P6">
        <f t="shared" ref="P6:Y6" si="6">IF(D6=D7,10*P$1*D6,10*P$1*-1*ABS((D6-D7)))</f>
        <v>0</v>
      </c>
      <c r="Q6">
        <f t="shared" si="6"/>
        <v>0</v>
      </c>
      <c r="R6">
        <f t="shared" si="6"/>
        <v>-30</v>
      </c>
      <c r="S6">
        <f t="shared" si="6"/>
        <v>0</v>
      </c>
      <c r="T6">
        <f t="shared" si="6"/>
        <v>0</v>
      </c>
      <c r="U6">
        <f t="shared" si="6"/>
        <v>0</v>
      </c>
      <c r="V6">
        <f t="shared" si="6"/>
        <v>0</v>
      </c>
      <c r="W6">
        <f t="shared" si="6"/>
        <v>0</v>
      </c>
      <c r="X6">
        <f t="shared" si="6"/>
        <v>0</v>
      </c>
      <c r="Y6">
        <f t="shared" si="6"/>
        <v>0</v>
      </c>
      <c r="AA6" s="4" t="s">
        <v>2</v>
      </c>
      <c r="AB6">
        <f>P10</f>
        <v>0</v>
      </c>
      <c r="AC6">
        <f t="shared" ref="AC6:AK6" si="7">Q10</f>
        <v>0</v>
      </c>
      <c r="AD6">
        <f t="shared" si="7"/>
        <v>0</v>
      </c>
      <c r="AE6">
        <f t="shared" si="7"/>
        <v>40</v>
      </c>
      <c r="AF6">
        <f t="shared" si="7"/>
        <v>0</v>
      </c>
      <c r="AG6">
        <f t="shared" si="7"/>
        <v>0</v>
      </c>
      <c r="AH6">
        <f t="shared" si="7"/>
        <v>0</v>
      </c>
      <c r="AI6">
        <f t="shared" si="7"/>
        <v>0</v>
      </c>
      <c r="AJ6">
        <f t="shared" si="7"/>
        <v>0</v>
      </c>
      <c r="AK6">
        <f t="shared" si="7"/>
        <v>0</v>
      </c>
    </row>
    <row r="7" spans="1:37" x14ac:dyDescent="0.2">
      <c r="A7" s="5"/>
      <c r="B7" s="5"/>
      <c r="C7" s="5"/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s="5"/>
      <c r="AA7" s="4" t="s">
        <v>3</v>
      </c>
      <c r="AB7">
        <f>P12</f>
        <v>-10</v>
      </c>
      <c r="AC7">
        <f t="shared" ref="AC7:AK7" si="8">Q12</f>
        <v>0</v>
      </c>
      <c r="AD7">
        <f t="shared" si="8"/>
        <v>30</v>
      </c>
      <c r="AE7">
        <f t="shared" si="8"/>
        <v>-40</v>
      </c>
      <c r="AF7">
        <f t="shared" si="8"/>
        <v>0</v>
      </c>
      <c r="AG7">
        <f t="shared" si="8"/>
        <v>-60</v>
      </c>
      <c r="AH7">
        <f t="shared" si="8"/>
        <v>0</v>
      </c>
      <c r="AI7">
        <f t="shared" si="8"/>
        <v>-80</v>
      </c>
      <c r="AJ7">
        <f t="shared" si="8"/>
        <v>-90</v>
      </c>
      <c r="AK7">
        <f t="shared" si="8"/>
        <v>0</v>
      </c>
    </row>
    <row r="8" spans="1:37" x14ac:dyDescent="0.2">
      <c r="A8" s="5">
        <f>RANK(B8, B$2:B$100, 0)</f>
        <v>14</v>
      </c>
      <c r="B8" s="5">
        <f>SUM(P8:Y8)</f>
        <v>-170</v>
      </c>
      <c r="C8" s="5" t="s">
        <v>22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O8" s="5" t="s">
        <v>22</v>
      </c>
      <c r="P8">
        <f t="shared" ref="P8:Y8" si="9">IF(D8=D9,10*P$1*D8,10*P$1*-1*ABS((D8-D9)))</f>
        <v>0</v>
      </c>
      <c r="Q8">
        <f t="shared" si="9"/>
        <v>0</v>
      </c>
      <c r="R8">
        <f t="shared" si="9"/>
        <v>30</v>
      </c>
      <c r="S8">
        <f t="shared" si="9"/>
        <v>0</v>
      </c>
      <c r="T8">
        <f t="shared" si="9"/>
        <v>0</v>
      </c>
      <c r="U8">
        <f t="shared" si="9"/>
        <v>-120</v>
      </c>
      <c r="V8">
        <f t="shared" si="9"/>
        <v>0</v>
      </c>
      <c r="W8">
        <f t="shared" si="9"/>
        <v>-80</v>
      </c>
      <c r="X8">
        <f t="shared" si="9"/>
        <v>0</v>
      </c>
      <c r="Y8">
        <f t="shared" si="9"/>
        <v>0</v>
      </c>
      <c r="AA8" s="4" t="s">
        <v>20</v>
      </c>
      <c r="AB8">
        <f>P14</f>
        <v>-20</v>
      </c>
      <c r="AC8">
        <f t="shared" ref="AC8:AK8" si="10">Q14</f>
        <v>-20</v>
      </c>
      <c r="AD8">
        <f t="shared" si="10"/>
        <v>30</v>
      </c>
      <c r="AE8">
        <f t="shared" si="10"/>
        <v>-40</v>
      </c>
      <c r="AF8">
        <f t="shared" si="10"/>
        <v>-50</v>
      </c>
      <c r="AG8">
        <f t="shared" si="10"/>
        <v>-60</v>
      </c>
      <c r="AH8">
        <f t="shared" si="10"/>
        <v>0</v>
      </c>
      <c r="AI8">
        <f t="shared" si="10"/>
        <v>-80</v>
      </c>
      <c r="AJ8">
        <f t="shared" si="10"/>
        <v>90</v>
      </c>
      <c r="AK8">
        <f t="shared" si="10"/>
        <v>0</v>
      </c>
    </row>
    <row r="9" spans="1:37" x14ac:dyDescent="0.2">
      <c r="A9" s="5"/>
      <c r="B9" s="5"/>
      <c r="C9" s="5"/>
      <c r="D9">
        <v>0</v>
      </c>
      <c r="E9">
        <v>0</v>
      </c>
      <c r="F9">
        <v>1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O9" s="5"/>
      <c r="AA9" s="4" t="s">
        <v>23</v>
      </c>
      <c r="AB9">
        <f>P16</f>
        <v>-10</v>
      </c>
      <c r="AC9">
        <f t="shared" ref="AC9:AK9" si="11">Q16</f>
        <v>0</v>
      </c>
      <c r="AD9">
        <f t="shared" si="11"/>
        <v>0</v>
      </c>
      <c r="AE9">
        <f t="shared" si="11"/>
        <v>0</v>
      </c>
      <c r="AF9">
        <f t="shared" si="11"/>
        <v>0</v>
      </c>
      <c r="AG9">
        <f t="shared" si="11"/>
        <v>-60</v>
      </c>
      <c r="AH9">
        <f t="shared" si="11"/>
        <v>0</v>
      </c>
      <c r="AI9">
        <f t="shared" si="11"/>
        <v>0</v>
      </c>
      <c r="AJ9">
        <f t="shared" si="11"/>
        <v>0</v>
      </c>
      <c r="AK9">
        <f t="shared" si="11"/>
        <v>100</v>
      </c>
    </row>
    <row r="10" spans="1:37" x14ac:dyDescent="0.2">
      <c r="A10" s="5">
        <f>RANK(B10, B$2:B$100, 0)</f>
        <v>6</v>
      </c>
      <c r="B10" s="5">
        <f>SUM(P10:Y10)</f>
        <v>40</v>
      </c>
      <c r="C10" s="5" t="s">
        <v>2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s="5" t="s">
        <v>2</v>
      </c>
      <c r="P10">
        <f t="shared" ref="P10:Y10" si="12">IF(D10=D11,10*P$1*D10,10*P$1*-1*ABS((D10-D11)))</f>
        <v>0</v>
      </c>
      <c r="Q10">
        <f t="shared" si="12"/>
        <v>0</v>
      </c>
      <c r="R10">
        <f t="shared" si="12"/>
        <v>0</v>
      </c>
      <c r="S10">
        <f t="shared" si="12"/>
        <v>40</v>
      </c>
      <c r="T10">
        <f t="shared" si="12"/>
        <v>0</v>
      </c>
      <c r="U10">
        <f t="shared" si="12"/>
        <v>0</v>
      </c>
      <c r="V10">
        <f t="shared" si="12"/>
        <v>0</v>
      </c>
      <c r="W10">
        <f t="shared" si="12"/>
        <v>0</v>
      </c>
      <c r="X10">
        <f t="shared" si="12"/>
        <v>0</v>
      </c>
      <c r="Y10">
        <f t="shared" si="12"/>
        <v>0</v>
      </c>
      <c r="AA10" s="4" t="s">
        <v>4</v>
      </c>
      <c r="AB10">
        <f>P18</f>
        <v>-10</v>
      </c>
      <c r="AC10">
        <f t="shared" ref="AC10:AK10" si="13">Q18</f>
        <v>20</v>
      </c>
      <c r="AD10">
        <f t="shared" si="13"/>
        <v>30</v>
      </c>
      <c r="AE10">
        <f t="shared" si="13"/>
        <v>-40</v>
      </c>
      <c r="AF10">
        <f t="shared" si="13"/>
        <v>-100</v>
      </c>
      <c r="AG10">
        <f t="shared" si="13"/>
        <v>60</v>
      </c>
      <c r="AH10">
        <f t="shared" si="13"/>
        <v>0</v>
      </c>
      <c r="AI10">
        <f t="shared" si="13"/>
        <v>0</v>
      </c>
      <c r="AJ10">
        <f t="shared" si="13"/>
        <v>0</v>
      </c>
      <c r="AK10">
        <f t="shared" si="13"/>
        <v>0</v>
      </c>
    </row>
    <row r="11" spans="1:37" x14ac:dyDescent="0.2">
      <c r="A11" s="5"/>
      <c r="B11" s="5"/>
      <c r="C11" s="5"/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s="5"/>
      <c r="AA11" s="4" t="s">
        <v>5</v>
      </c>
      <c r="AB11">
        <f>P20</f>
        <v>-10</v>
      </c>
      <c r="AC11">
        <f t="shared" ref="AC11:AK11" si="14">Q20</f>
        <v>40</v>
      </c>
      <c r="AD11">
        <f t="shared" si="14"/>
        <v>0</v>
      </c>
      <c r="AE11">
        <f t="shared" si="14"/>
        <v>-40</v>
      </c>
      <c r="AF11">
        <f t="shared" si="14"/>
        <v>0</v>
      </c>
      <c r="AG11">
        <f t="shared" si="14"/>
        <v>0</v>
      </c>
      <c r="AH11">
        <f t="shared" si="14"/>
        <v>70</v>
      </c>
      <c r="AI11">
        <f t="shared" si="14"/>
        <v>0</v>
      </c>
      <c r="AJ11">
        <f t="shared" si="14"/>
        <v>0</v>
      </c>
      <c r="AK11">
        <f t="shared" si="14"/>
        <v>0</v>
      </c>
    </row>
    <row r="12" spans="1:37" x14ac:dyDescent="0.2">
      <c r="A12" s="5">
        <f>RANK(B12, B$2:B$100, 0)</f>
        <v>15</v>
      </c>
      <c r="B12" s="5">
        <f>SUM(P12:Y12)</f>
        <v>-250</v>
      </c>
      <c r="C12" s="5" t="s">
        <v>3</v>
      </c>
      <c r="D12">
        <v>1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O12" s="5" t="s">
        <v>3</v>
      </c>
      <c r="P12">
        <f t="shared" ref="P12:Y12" si="15">IF(D12=D13,10*P$1*D12,10*P$1*-1*ABS((D12-D13)))</f>
        <v>-10</v>
      </c>
      <c r="Q12">
        <f t="shared" si="15"/>
        <v>0</v>
      </c>
      <c r="R12">
        <f t="shared" si="15"/>
        <v>30</v>
      </c>
      <c r="S12">
        <f t="shared" si="15"/>
        <v>-40</v>
      </c>
      <c r="T12">
        <f t="shared" si="15"/>
        <v>0</v>
      </c>
      <c r="U12">
        <f t="shared" si="15"/>
        <v>-60</v>
      </c>
      <c r="V12">
        <f t="shared" si="15"/>
        <v>0</v>
      </c>
      <c r="W12">
        <f t="shared" si="15"/>
        <v>-80</v>
      </c>
      <c r="X12">
        <f t="shared" si="15"/>
        <v>-90</v>
      </c>
      <c r="Y12">
        <f t="shared" si="15"/>
        <v>0</v>
      </c>
      <c r="AA12" s="4" t="s">
        <v>21</v>
      </c>
      <c r="AB12">
        <f>P22</f>
        <v>0</v>
      </c>
      <c r="AC12">
        <f t="shared" ref="AC12:AK12" si="16">Q22</f>
        <v>-40</v>
      </c>
      <c r="AD12">
        <f t="shared" si="16"/>
        <v>30</v>
      </c>
      <c r="AE12">
        <f t="shared" si="16"/>
        <v>40</v>
      </c>
      <c r="AF12">
        <f t="shared" si="16"/>
        <v>-50</v>
      </c>
      <c r="AG12">
        <f t="shared" si="16"/>
        <v>0</v>
      </c>
      <c r="AH12">
        <f t="shared" si="16"/>
        <v>70</v>
      </c>
      <c r="AI12">
        <f t="shared" si="16"/>
        <v>0</v>
      </c>
      <c r="AJ12">
        <f t="shared" si="16"/>
        <v>0</v>
      </c>
      <c r="AK12">
        <f t="shared" si="16"/>
        <v>0</v>
      </c>
    </row>
    <row r="13" spans="1:37" x14ac:dyDescent="0.2">
      <c r="A13" s="5"/>
      <c r="B13" s="5"/>
      <c r="C13" s="5"/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O13" s="5"/>
      <c r="AA13" s="4" t="s">
        <v>6</v>
      </c>
      <c r="AB13">
        <f>P24</f>
        <v>10</v>
      </c>
      <c r="AC13">
        <f t="shared" ref="AC13:AK13" si="17">Q24</f>
        <v>20</v>
      </c>
      <c r="AD13">
        <f t="shared" si="17"/>
        <v>-30</v>
      </c>
      <c r="AE13">
        <f t="shared" si="17"/>
        <v>0</v>
      </c>
      <c r="AF13">
        <f t="shared" si="17"/>
        <v>50</v>
      </c>
      <c r="AG13">
        <f t="shared" si="17"/>
        <v>0</v>
      </c>
      <c r="AH13">
        <f t="shared" si="17"/>
        <v>0</v>
      </c>
      <c r="AI13">
        <f t="shared" si="17"/>
        <v>0</v>
      </c>
      <c r="AJ13">
        <f t="shared" si="17"/>
        <v>0</v>
      </c>
      <c r="AK13">
        <f t="shared" si="17"/>
        <v>0</v>
      </c>
    </row>
    <row r="14" spans="1:37" x14ac:dyDescent="0.2">
      <c r="A14" s="5">
        <f>RANK(B14, B$2:B$100, 0)</f>
        <v>13</v>
      </c>
      <c r="B14" s="5">
        <f>SUM(P14:Y14)</f>
        <v>-150</v>
      </c>
      <c r="C14" s="5" t="s">
        <v>20</v>
      </c>
      <c r="D14">
        <v>2</v>
      </c>
      <c r="E14">
        <v>2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O14" s="5" t="s">
        <v>20</v>
      </c>
      <c r="P14">
        <f t="shared" ref="P14:Y14" si="18">IF(D14=D15,10*P$1*D14,10*P$1*-1*ABS((D14-D15)))</f>
        <v>-20</v>
      </c>
      <c r="Q14">
        <f t="shared" si="18"/>
        <v>-20</v>
      </c>
      <c r="R14">
        <f t="shared" si="18"/>
        <v>30</v>
      </c>
      <c r="S14">
        <f t="shared" si="18"/>
        <v>-40</v>
      </c>
      <c r="T14">
        <f t="shared" si="18"/>
        <v>-50</v>
      </c>
      <c r="U14">
        <f t="shared" si="18"/>
        <v>-60</v>
      </c>
      <c r="V14">
        <f t="shared" si="18"/>
        <v>0</v>
      </c>
      <c r="W14">
        <f t="shared" si="18"/>
        <v>-80</v>
      </c>
      <c r="X14">
        <f t="shared" si="18"/>
        <v>90</v>
      </c>
      <c r="Y14">
        <f t="shared" si="18"/>
        <v>0</v>
      </c>
      <c r="AA14" s="4" t="s">
        <v>7</v>
      </c>
      <c r="AB14">
        <f>P26</f>
        <v>-10</v>
      </c>
      <c r="AC14">
        <f t="shared" ref="AC14:AK14" si="19">Q26</f>
        <v>0</v>
      </c>
      <c r="AD14">
        <f t="shared" si="19"/>
        <v>0</v>
      </c>
      <c r="AE14">
        <f t="shared" si="19"/>
        <v>40</v>
      </c>
      <c r="AF14">
        <f t="shared" si="19"/>
        <v>50</v>
      </c>
      <c r="AG14">
        <f t="shared" si="19"/>
        <v>0</v>
      </c>
      <c r="AH14">
        <f t="shared" si="19"/>
        <v>70</v>
      </c>
      <c r="AI14">
        <f t="shared" si="19"/>
        <v>160</v>
      </c>
      <c r="AJ14">
        <f t="shared" si="19"/>
        <v>0</v>
      </c>
      <c r="AK14">
        <f t="shared" si="19"/>
        <v>0</v>
      </c>
    </row>
    <row r="15" spans="1:37" x14ac:dyDescent="0.2">
      <c r="A15" s="5"/>
      <c r="B15" s="5"/>
      <c r="C15" s="5"/>
      <c r="D15">
        <v>4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O15" s="5"/>
      <c r="AA15" s="4" t="s">
        <v>8</v>
      </c>
      <c r="AB15">
        <f>P28</f>
        <v>0</v>
      </c>
      <c r="AC15">
        <f t="shared" ref="AC15:AK15" si="20">Q28</f>
        <v>0</v>
      </c>
      <c r="AD15">
        <f t="shared" si="20"/>
        <v>-30</v>
      </c>
      <c r="AE15">
        <f t="shared" si="20"/>
        <v>40</v>
      </c>
      <c r="AF15">
        <f t="shared" si="20"/>
        <v>0</v>
      </c>
      <c r="AG15">
        <f t="shared" si="20"/>
        <v>0</v>
      </c>
      <c r="AH15">
        <f t="shared" si="20"/>
        <v>0</v>
      </c>
      <c r="AI15">
        <f t="shared" si="20"/>
        <v>80</v>
      </c>
      <c r="AJ15">
        <f t="shared" si="20"/>
        <v>0</v>
      </c>
      <c r="AK15">
        <f t="shared" si="20"/>
        <v>0</v>
      </c>
    </row>
    <row r="16" spans="1:37" x14ac:dyDescent="0.2">
      <c r="A16" s="5">
        <f>RANK(B16, B$2:B$100, 0)</f>
        <v>7</v>
      </c>
      <c r="B16" s="5">
        <f>SUM(P16:Y16)</f>
        <v>30</v>
      </c>
      <c r="C16" s="5" t="s">
        <v>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O16" s="5" t="s">
        <v>23</v>
      </c>
      <c r="P16">
        <f t="shared" ref="P16:Y16" si="21">IF(D16=D17,10*P$1*D16,10*P$1*-1*ABS((D16-D17)))</f>
        <v>-10</v>
      </c>
      <c r="Q16">
        <f t="shared" si="21"/>
        <v>0</v>
      </c>
      <c r="R16">
        <f t="shared" si="21"/>
        <v>0</v>
      </c>
      <c r="S16">
        <f t="shared" si="21"/>
        <v>0</v>
      </c>
      <c r="T16">
        <f t="shared" si="21"/>
        <v>0</v>
      </c>
      <c r="U16">
        <f t="shared" si="21"/>
        <v>-60</v>
      </c>
      <c r="V16">
        <f t="shared" si="21"/>
        <v>0</v>
      </c>
      <c r="W16">
        <f t="shared" si="21"/>
        <v>0</v>
      </c>
      <c r="X16">
        <f t="shared" si="21"/>
        <v>0</v>
      </c>
      <c r="Y16">
        <f t="shared" si="21"/>
        <v>100</v>
      </c>
      <c r="AA16" s="4" t="s">
        <v>9</v>
      </c>
      <c r="AB16">
        <f>P30</f>
        <v>10</v>
      </c>
      <c r="AC16">
        <f t="shared" ref="AC16:AK16" si="22">Q30</f>
        <v>0</v>
      </c>
      <c r="AD16">
        <f t="shared" si="22"/>
        <v>0</v>
      </c>
      <c r="AE16">
        <f t="shared" si="22"/>
        <v>0</v>
      </c>
      <c r="AF16">
        <f t="shared" si="22"/>
        <v>0</v>
      </c>
      <c r="AG16">
        <f t="shared" si="22"/>
        <v>-60</v>
      </c>
      <c r="AH16">
        <f t="shared" si="22"/>
        <v>-70</v>
      </c>
      <c r="AI16">
        <f t="shared" si="22"/>
        <v>0</v>
      </c>
      <c r="AJ16">
        <f t="shared" si="22"/>
        <v>0</v>
      </c>
      <c r="AK16">
        <f t="shared" si="22"/>
        <v>0</v>
      </c>
    </row>
    <row r="17" spans="1:27" x14ac:dyDescent="0.2">
      <c r="A17" s="5"/>
      <c r="B17" s="5"/>
      <c r="C17" s="5"/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O17" s="5"/>
    </row>
    <row r="18" spans="1:27" x14ac:dyDescent="0.2">
      <c r="A18" s="5">
        <f>RANK(B18, B$2:B$100, 0)</f>
        <v>10</v>
      </c>
      <c r="B18" s="5">
        <f>SUM(P18:Y18)</f>
        <v>-40</v>
      </c>
      <c r="C18" s="5" t="s">
        <v>4</v>
      </c>
      <c r="D18">
        <v>2</v>
      </c>
      <c r="E18">
        <v>1</v>
      </c>
      <c r="F18">
        <v>1</v>
      </c>
      <c r="G18">
        <v>1</v>
      </c>
      <c r="H18">
        <v>2</v>
      </c>
      <c r="I18">
        <v>1</v>
      </c>
      <c r="J18">
        <v>0</v>
      </c>
      <c r="K18">
        <v>0</v>
      </c>
      <c r="L18">
        <v>0</v>
      </c>
      <c r="M18">
        <v>0</v>
      </c>
      <c r="O18" s="5" t="s">
        <v>4</v>
      </c>
      <c r="P18">
        <f t="shared" ref="P18:Y18" si="23">IF(D18=D19,10*P$1*D18,10*P$1*-1*ABS((D18-D19)))</f>
        <v>-10</v>
      </c>
      <c r="Q18">
        <f t="shared" si="23"/>
        <v>20</v>
      </c>
      <c r="R18">
        <f t="shared" si="23"/>
        <v>30</v>
      </c>
      <c r="S18">
        <f t="shared" si="23"/>
        <v>-40</v>
      </c>
      <c r="T18">
        <f t="shared" si="23"/>
        <v>-100</v>
      </c>
      <c r="U18">
        <f t="shared" si="23"/>
        <v>60</v>
      </c>
      <c r="V18">
        <f t="shared" si="23"/>
        <v>0</v>
      </c>
      <c r="W18">
        <f t="shared" si="23"/>
        <v>0</v>
      </c>
      <c r="X18">
        <f t="shared" si="23"/>
        <v>0</v>
      </c>
      <c r="Y18">
        <f t="shared" si="23"/>
        <v>0</v>
      </c>
      <c r="AA18" s="3"/>
    </row>
    <row r="19" spans="1:27" x14ac:dyDescent="0.2">
      <c r="A19" s="5"/>
      <c r="B19" s="5"/>
      <c r="C19" s="5"/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O19" s="5"/>
    </row>
    <row r="20" spans="1:27" x14ac:dyDescent="0.2">
      <c r="A20" s="5">
        <f>RANK(B20, B$2:B$100, 0)</f>
        <v>3</v>
      </c>
      <c r="B20" s="5">
        <f>SUM(P20:Y20)</f>
        <v>60</v>
      </c>
      <c r="C20" s="5" t="s">
        <v>5</v>
      </c>
      <c r="D20">
        <v>1</v>
      </c>
      <c r="E20">
        <v>2</v>
      </c>
      <c r="F20">
        <v>0</v>
      </c>
      <c r="G20">
        <v>2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O20" s="5" t="s">
        <v>5</v>
      </c>
      <c r="P20">
        <f t="shared" ref="P20:Y20" si="24">IF(D20=D21,10*P$1*D20,10*P$1*-1*ABS((D20-D21)))</f>
        <v>-10</v>
      </c>
      <c r="Q20">
        <f t="shared" si="24"/>
        <v>40</v>
      </c>
      <c r="R20">
        <f t="shared" si="24"/>
        <v>0</v>
      </c>
      <c r="S20">
        <f t="shared" si="24"/>
        <v>-40</v>
      </c>
      <c r="T20">
        <f t="shared" si="24"/>
        <v>0</v>
      </c>
      <c r="U20">
        <f t="shared" si="24"/>
        <v>0</v>
      </c>
      <c r="V20">
        <f t="shared" si="24"/>
        <v>70</v>
      </c>
      <c r="W20">
        <f t="shared" si="24"/>
        <v>0</v>
      </c>
      <c r="X20">
        <f t="shared" si="24"/>
        <v>0</v>
      </c>
      <c r="Y20">
        <f t="shared" si="24"/>
        <v>0</v>
      </c>
      <c r="AA20" s="3"/>
    </row>
    <row r="21" spans="1:27" x14ac:dyDescent="0.2">
      <c r="A21" s="5"/>
      <c r="B21" s="5"/>
      <c r="C21" s="5"/>
      <c r="D21">
        <v>2</v>
      </c>
      <c r="E21">
        <v>2</v>
      </c>
      <c r="F21">
        <v>0</v>
      </c>
      <c r="G21">
        <v>3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O21" s="5"/>
    </row>
    <row r="22" spans="1:27" x14ac:dyDescent="0.2">
      <c r="A22" s="5">
        <f>RANK(B22, B$2:B$100, 0)</f>
        <v>4</v>
      </c>
      <c r="B22" s="5">
        <f>SUM(P22:Y22)</f>
        <v>50</v>
      </c>
      <c r="C22" s="5" t="s">
        <v>21</v>
      </c>
      <c r="D22">
        <v>0</v>
      </c>
      <c r="E22">
        <v>2</v>
      </c>
      <c r="F22">
        <v>1</v>
      </c>
      <c r="G22">
        <v>1</v>
      </c>
      <c r="H22">
        <v>2</v>
      </c>
      <c r="I22">
        <v>0</v>
      </c>
      <c r="J22">
        <v>1</v>
      </c>
      <c r="K22">
        <v>0</v>
      </c>
      <c r="L22">
        <v>0</v>
      </c>
      <c r="M22">
        <v>0</v>
      </c>
      <c r="O22" s="5" t="s">
        <v>21</v>
      </c>
      <c r="P22">
        <f t="shared" ref="P22:Y22" si="25">IF(D22=D23,10*P$1*D22,10*P$1*-1*ABS((D22-D23)))</f>
        <v>0</v>
      </c>
      <c r="Q22">
        <f t="shared" si="25"/>
        <v>-40</v>
      </c>
      <c r="R22">
        <f t="shared" si="25"/>
        <v>30</v>
      </c>
      <c r="S22">
        <f t="shared" si="25"/>
        <v>40</v>
      </c>
      <c r="T22">
        <f t="shared" si="25"/>
        <v>-50</v>
      </c>
      <c r="U22">
        <f t="shared" si="25"/>
        <v>0</v>
      </c>
      <c r="V22">
        <f t="shared" si="25"/>
        <v>70</v>
      </c>
      <c r="W22">
        <f t="shared" si="25"/>
        <v>0</v>
      </c>
      <c r="X22">
        <f t="shared" si="25"/>
        <v>0</v>
      </c>
      <c r="Y22">
        <f t="shared" si="25"/>
        <v>0</v>
      </c>
      <c r="AA22" s="3"/>
    </row>
    <row r="23" spans="1:27" x14ac:dyDescent="0.2">
      <c r="A23" s="5"/>
      <c r="B23" s="5"/>
      <c r="C23" s="5"/>
      <c r="D23">
        <v>0</v>
      </c>
      <c r="E23">
        <v>4</v>
      </c>
      <c r="F23">
        <v>1</v>
      </c>
      <c r="G23">
        <v>1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O23" s="5"/>
    </row>
    <row r="24" spans="1:27" x14ac:dyDescent="0.2">
      <c r="A24" s="5">
        <f>RANK(B24, B$2:B$100, 0)</f>
        <v>4</v>
      </c>
      <c r="B24" s="5">
        <f>SUM(P24:Y24)</f>
        <v>50</v>
      </c>
      <c r="C24" s="5" t="s">
        <v>6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O24" s="5" t="s">
        <v>6</v>
      </c>
      <c r="P24">
        <f t="shared" ref="P24:Y24" si="26">IF(D24=D25,10*P$1*D24,10*P$1*-1*ABS((D24-D25)))</f>
        <v>10</v>
      </c>
      <c r="Q24">
        <f t="shared" si="26"/>
        <v>20</v>
      </c>
      <c r="R24">
        <f t="shared" si="26"/>
        <v>-30</v>
      </c>
      <c r="S24">
        <f t="shared" si="26"/>
        <v>0</v>
      </c>
      <c r="T24">
        <f t="shared" si="26"/>
        <v>50</v>
      </c>
      <c r="U24">
        <f t="shared" si="26"/>
        <v>0</v>
      </c>
      <c r="V24">
        <f t="shared" si="26"/>
        <v>0</v>
      </c>
      <c r="W24">
        <f t="shared" si="26"/>
        <v>0</v>
      </c>
      <c r="X24">
        <f t="shared" si="26"/>
        <v>0</v>
      </c>
      <c r="Y24">
        <f t="shared" si="26"/>
        <v>0</v>
      </c>
      <c r="AA24" s="3"/>
    </row>
    <row r="25" spans="1:27" x14ac:dyDescent="0.2">
      <c r="A25" s="5"/>
      <c r="B25" s="5"/>
      <c r="C25" s="5"/>
      <c r="D25">
        <v>1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O25" s="5"/>
    </row>
    <row r="26" spans="1:27" x14ac:dyDescent="0.2">
      <c r="A26" s="5">
        <f>RANK(B26, B$2:B$100, 0)</f>
        <v>1</v>
      </c>
      <c r="B26" s="5">
        <f>SUM(P26:Y26)</f>
        <v>310</v>
      </c>
      <c r="C26" s="5" t="s">
        <v>7</v>
      </c>
      <c r="D26">
        <v>1</v>
      </c>
      <c r="E26">
        <v>0</v>
      </c>
      <c r="F26">
        <v>0</v>
      </c>
      <c r="G26">
        <v>1</v>
      </c>
      <c r="H26">
        <v>1</v>
      </c>
      <c r="I26">
        <v>0</v>
      </c>
      <c r="J26">
        <v>1</v>
      </c>
      <c r="K26">
        <v>2</v>
      </c>
      <c r="L26">
        <v>0</v>
      </c>
      <c r="M26">
        <v>0</v>
      </c>
      <c r="O26" s="5" t="s">
        <v>7</v>
      </c>
      <c r="P26">
        <f t="shared" ref="P26:Y26" si="27">IF(D26=D27,10*P$1*D26,10*P$1*-1*ABS((D26-D27)))</f>
        <v>-10</v>
      </c>
      <c r="Q26">
        <f t="shared" si="27"/>
        <v>0</v>
      </c>
      <c r="R26">
        <f t="shared" si="27"/>
        <v>0</v>
      </c>
      <c r="S26">
        <f t="shared" si="27"/>
        <v>40</v>
      </c>
      <c r="T26">
        <f t="shared" si="27"/>
        <v>50</v>
      </c>
      <c r="U26">
        <f t="shared" si="27"/>
        <v>0</v>
      </c>
      <c r="V26">
        <f t="shared" si="27"/>
        <v>70</v>
      </c>
      <c r="W26">
        <f t="shared" si="27"/>
        <v>160</v>
      </c>
      <c r="X26">
        <f t="shared" si="27"/>
        <v>0</v>
      </c>
      <c r="Y26">
        <f t="shared" si="27"/>
        <v>0</v>
      </c>
      <c r="AA26" s="3"/>
    </row>
    <row r="27" spans="1:27" x14ac:dyDescent="0.2">
      <c r="A27" s="5"/>
      <c r="B27" s="5"/>
      <c r="C27" s="5"/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2</v>
      </c>
      <c r="L27">
        <v>0</v>
      </c>
      <c r="M27">
        <v>0</v>
      </c>
      <c r="O27" s="5"/>
    </row>
    <row r="28" spans="1:27" x14ac:dyDescent="0.2">
      <c r="A28" s="5">
        <f>RANK(B28, B$2:B$100, 0)</f>
        <v>2</v>
      </c>
      <c r="B28" s="5">
        <f>SUM(P28:Y28)</f>
        <v>90</v>
      </c>
      <c r="C28" s="5" t="s">
        <v>8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O28" s="5" t="s">
        <v>8</v>
      </c>
      <c r="P28">
        <f t="shared" ref="P28:Y28" si="28">IF(D28=D29,10*P$1*D28,10*P$1*-1*ABS((D28-D29)))</f>
        <v>0</v>
      </c>
      <c r="Q28">
        <f t="shared" si="28"/>
        <v>0</v>
      </c>
      <c r="R28">
        <f t="shared" si="28"/>
        <v>-30</v>
      </c>
      <c r="S28">
        <f t="shared" si="28"/>
        <v>40</v>
      </c>
      <c r="T28">
        <f t="shared" si="28"/>
        <v>0</v>
      </c>
      <c r="U28">
        <f t="shared" si="28"/>
        <v>0</v>
      </c>
      <c r="V28">
        <f t="shared" si="28"/>
        <v>0</v>
      </c>
      <c r="W28">
        <f t="shared" si="28"/>
        <v>80</v>
      </c>
      <c r="X28">
        <f t="shared" si="28"/>
        <v>0</v>
      </c>
      <c r="Y28">
        <f t="shared" si="28"/>
        <v>0</v>
      </c>
      <c r="AA28" s="3"/>
    </row>
    <row r="29" spans="1:27" x14ac:dyDescent="0.2">
      <c r="A29" s="5"/>
      <c r="B29" s="5"/>
      <c r="C29" s="5"/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O29" s="5"/>
    </row>
    <row r="30" spans="1:27" x14ac:dyDescent="0.2">
      <c r="A30" s="5">
        <f>RANK(B30, B$2:B$100, 0)</f>
        <v>12</v>
      </c>
      <c r="B30" s="5">
        <f>SUM(P30:Y30)</f>
        <v>-120</v>
      </c>
      <c r="C30" s="5" t="s">
        <v>9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O30" s="5" t="s">
        <v>9</v>
      </c>
      <c r="P30">
        <f t="shared" ref="P30:Y30" si="29">IF(D30=D31,10*P$1*D30,10*P$1*-1*ABS((D30-D31)))</f>
        <v>10</v>
      </c>
      <c r="Q30">
        <f t="shared" si="29"/>
        <v>0</v>
      </c>
      <c r="R30">
        <f t="shared" si="29"/>
        <v>0</v>
      </c>
      <c r="S30">
        <f t="shared" si="29"/>
        <v>0</v>
      </c>
      <c r="T30">
        <f t="shared" si="29"/>
        <v>0</v>
      </c>
      <c r="U30">
        <f t="shared" si="29"/>
        <v>-60</v>
      </c>
      <c r="V30">
        <f t="shared" si="29"/>
        <v>-70</v>
      </c>
      <c r="W30">
        <f t="shared" si="29"/>
        <v>0</v>
      </c>
      <c r="X30">
        <f t="shared" si="29"/>
        <v>0</v>
      </c>
      <c r="Y30">
        <f t="shared" si="29"/>
        <v>0</v>
      </c>
      <c r="AA30" s="3"/>
    </row>
    <row r="31" spans="1:27" x14ac:dyDescent="0.2">
      <c r="A31" s="5"/>
      <c r="B31" s="5"/>
      <c r="C31" s="5"/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O31" s="5"/>
    </row>
    <row r="33" spans="3:13" x14ac:dyDescent="0.2">
      <c r="C33" s="2" t="s">
        <v>27</v>
      </c>
      <c r="D33">
        <f>D2+D4+D6+D8+D10+D12+D14+D16+D18+D20+D22+D24+D26+D28+D30</f>
        <v>10</v>
      </c>
      <c r="E33">
        <f t="shared" ref="E33:M33" si="30">E2+E4+E6+E8+E10+E12+E14+E16+E18+E20+E22+E24+E26+E28+E30</f>
        <v>8</v>
      </c>
      <c r="F33">
        <f t="shared" si="30"/>
        <v>9</v>
      </c>
      <c r="G33">
        <f t="shared" si="30"/>
        <v>9</v>
      </c>
      <c r="H33">
        <f t="shared" si="30"/>
        <v>9</v>
      </c>
      <c r="I33">
        <f t="shared" si="30"/>
        <v>3</v>
      </c>
      <c r="J33">
        <f t="shared" si="30"/>
        <v>3</v>
      </c>
      <c r="K33">
        <f t="shared" si="30"/>
        <v>6</v>
      </c>
      <c r="L33">
        <f t="shared" si="30"/>
        <v>2</v>
      </c>
      <c r="M33">
        <f t="shared" si="30"/>
        <v>1</v>
      </c>
    </row>
    <row r="34" spans="3:13" x14ac:dyDescent="0.2">
      <c r="C34" s="2" t="s">
        <v>28</v>
      </c>
      <c r="D34">
        <f>D3+D5+D7+D9+D11+D13+D15+D17+D19+D21+D23+D25+D27+D29+D31</f>
        <v>10</v>
      </c>
      <c r="E34">
        <f t="shared" ref="E34:M34" si="31">E3+E5+E7+E9+E11+E13+E15+E17+E19+E21+E23+E25+E27+E29+E31</f>
        <v>9</v>
      </c>
      <c r="F34">
        <f t="shared" si="31"/>
        <v>8</v>
      </c>
      <c r="G34">
        <f t="shared" si="31"/>
        <v>7</v>
      </c>
      <c r="H34">
        <f t="shared" si="31"/>
        <v>6</v>
      </c>
      <c r="I34">
        <f t="shared" si="31"/>
        <v>5</v>
      </c>
      <c r="J34">
        <f t="shared" si="31"/>
        <v>4</v>
      </c>
      <c r="K34">
        <f t="shared" si="31"/>
        <v>3</v>
      </c>
      <c r="L34">
        <f t="shared" si="31"/>
        <v>2</v>
      </c>
      <c r="M34">
        <f t="shared" si="31"/>
        <v>1</v>
      </c>
    </row>
  </sheetData>
  <mergeCells count="60">
    <mergeCell ref="O28:O29"/>
    <mergeCell ref="O30:O31"/>
    <mergeCell ref="O16:O17"/>
    <mergeCell ref="O18:O19"/>
    <mergeCell ref="O20:O21"/>
    <mergeCell ref="O22:O23"/>
    <mergeCell ref="O24:O25"/>
    <mergeCell ref="O26:O27"/>
    <mergeCell ref="O2:O3"/>
    <mergeCell ref="O4:O5"/>
    <mergeCell ref="O6:O7"/>
    <mergeCell ref="O8:O9"/>
    <mergeCell ref="O10:O11"/>
    <mergeCell ref="O12:O13"/>
    <mergeCell ref="O14:O15"/>
    <mergeCell ref="A18:A19"/>
    <mergeCell ref="A20:A21"/>
    <mergeCell ref="A22:A23"/>
    <mergeCell ref="A12:A13"/>
    <mergeCell ref="A14:A15"/>
    <mergeCell ref="A16:A17"/>
    <mergeCell ref="B12:B13"/>
    <mergeCell ref="B18:B19"/>
    <mergeCell ref="B20:B21"/>
    <mergeCell ref="B22:B23"/>
    <mergeCell ref="C16:C17"/>
    <mergeCell ref="A26:A27"/>
    <mergeCell ref="A28:A29"/>
    <mergeCell ref="A30:A31"/>
    <mergeCell ref="A24:A25"/>
    <mergeCell ref="B28:B29"/>
    <mergeCell ref="B30:B31"/>
    <mergeCell ref="B24:B25"/>
    <mergeCell ref="B26:B27"/>
    <mergeCell ref="A2:A3"/>
    <mergeCell ref="A4:A5"/>
    <mergeCell ref="A6:A7"/>
    <mergeCell ref="A8:A9"/>
    <mergeCell ref="A10:A11"/>
    <mergeCell ref="C26:C27"/>
    <mergeCell ref="C28:C29"/>
    <mergeCell ref="C30:C31"/>
    <mergeCell ref="B2:B3"/>
    <mergeCell ref="B4:B5"/>
    <mergeCell ref="B6:B7"/>
    <mergeCell ref="B8:B9"/>
    <mergeCell ref="B10:B11"/>
    <mergeCell ref="B16:B17"/>
    <mergeCell ref="B14:B15"/>
    <mergeCell ref="C12:C13"/>
    <mergeCell ref="C14:C15"/>
    <mergeCell ref="C18:C19"/>
    <mergeCell ref="C20:C21"/>
    <mergeCell ref="C22:C23"/>
    <mergeCell ref="C24:C25"/>
    <mergeCell ref="C2:C3"/>
    <mergeCell ref="C4:C5"/>
    <mergeCell ref="C6:C7"/>
    <mergeCell ref="C8:C9"/>
    <mergeCell ref="C10:C11"/>
  </mergeCells>
  <conditionalFormatting sqref="A1:A2 A4 A6 A8 A10 A12 A14 A16 A18 A20 A22 A24 A28 A30 A32 A34:A1048576 A26">
    <cfRule type="top10" dxfId="23" priority="1" bottom="1" rank="3"/>
    <cfRule type="top10" dxfId="22" priority="2" bottom="1" rank="3"/>
    <cfRule type="top10" dxfId="21" priority="3" rank="4"/>
    <cfRule type="top10" dxfId="20" priority="6" bottom="1" rank="3"/>
    <cfRule type="top10" dxfId="19" priority="7" rank="3"/>
  </conditionalFormatting>
  <conditionalFormatting sqref="A2 A4 A6 A8 A10 A12 A14 A16 A18 A20 A22 A24 A28 A30 A26">
    <cfRule type="top10" dxfId="18" priority="4" bottom="1" rank="3"/>
    <cfRule type="top10" dxfId="17" priority="5" rank="3"/>
    <cfRule type="top10" dxfId="16" priority="8" rank="3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98E3-EE2C-E04A-B6DA-39EB9C7F1C0F}">
  <dimension ref="A1:AK34"/>
  <sheetViews>
    <sheetView workbookViewId="0">
      <selection activeCell="O2" sqref="O2:O31"/>
    </sheetView>
  </sheetViews>
  <sheetFormatPr baseColWidth="10" defaultRowHeight="16" x14ac:dyDescent="0.2"/>
  <cols>
    <col min="2" max="2" width="10.83203125" style="3"/>
    <col min="3" max="3" width="10.83203125" style="2"/>
  </cols>
  <sheetData>
    <row r="1" spans="1:37" x14ac:dyDescent="0.2">
      <c r="A1" s="3" t="s">
        <v>24</v>
      </c>
      <c r="B1" s="3" t="s">
        <v>25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  <c r="AB1" s="1">
        <v>1</v>
      </c>
      <c r="AC1" s="1">
        <v>2</v>
      </c>
      <c r="AD1" s="1">
        <v>3</v>
      </c>
      <c r="AE1" s="1">
        <v>4</v>
      </c>
      <c r="AF1" s="1">
        <v>5</v>
      </c>
      <c r="AG1" s="1">
        <v>6</v>
      </c>
      <c r="AH1" s="1">
        <v>7</v>
      </c>
      <c r="AI1" s="1">
        <v>8</v>
      </c>
      <c r="AJ1" s="1">
        <v>9</v>
      </c>
      <c r="AK1" s="1">
        <v>10</v>
      </c>
    </row>
    <row r="2" spans="1:37" x14ac:dyDescent="0.2">
      <c r="A2" s="5">
        <f>RANK(B2, B$2:B$100, 0)</f>
        <v>1</v>
      </c>
      <c r="B2" s="5">
        <f>SUM(P2:Y2)</f>
        <v>0</v>
      </c>
      <c r="C2" s="5" t="s">
        <v>0</v>
      </c>
      <c r="O2" s="5" t="str">
        <f>C2</f>
        <v>Caden</v>
      </c>
      <c r="P2">
        <f t="shared" ref="P2:Y2" si="0">IF(D2=D3,10*P$1*D2,10*P$1*-1*ABS((D2-D3)))</f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AA2" s="4" t="s">
        <v>0</v>
      </c>
      <c r="AB2">
        <f>P2</f>
        <v>0</v>
      </c>
      <c r="AC2">
        <f t="shared" ref="AC2:AK2" si="1">Q2</f>
        <v>0</v>
      </c>
      <c r="AD2">
        <f t="shared" si="1"/>
        <v>0</v>
      </c>
      <c r="AE2">
        <f t="shared" si="1"/>
        <v>0</v>
      </c>
      <c r="AF2">
        <f t="shared" si="1"/>
        <v>0</v>
      </c>
      <c r="AG2">
        <f t="shared" si="1"/>
        <v>0</v>
      </c>
      <c r="AH2">
        <f t="shared" si="1"/>
        <v>0</v>
      </c>
      <c r="AI2">
        <f t="shared" si="1"/>
        <v>0</v>
      </c>
      <c r="AJ2">
        <f t="shared" si="1"/>
        <v>0</v>
      </c>
      <c r="AK2">
        <f t="shared" si="1"/>
        <v>0</v>
      </c>
    </row>
    <row r="3" spans="1:37" x14ac:dyDescent="0.2">
      <c r="A3" s="5"/>
      <c r="B3" s="5"/>
      <c r="C3" s="5"/>
      <c r="O3" s="5"/>
      <c r="AA3" s="4" t="s">
        <v>1</v>
      </c>
      <c r="AB3">
        <f>P4</f>
        <v>0</v>
      </c>
      <c r="AC3">
        <f t="shared" ref="AC3:AK3" si="2">Q4</f>
        <v>0</v>
      </c>
      <c r="AD3">
        <f t="shared" si="2"/>
        <v>0</v>
      </c>
      <c r="AE3">
        <f t="shared" si="2"/>
        <v>0</v>
      </c>
      <c r="AF3">
        <f t="shared" si="2"/>
        <v>0</v>
      </c>
      <c r="AG3">
        <f t="shared" si="2"/>
        <v>0</v>
      </c>
      <c r="AH3">
        <f t="shared" si="2"/>
        <v>0</v>
      </c>
      <c r="AI3">
        <f t="shared" si="2"/>
        <v>0</v>
      </c>
      <c r="AJ3">
        <f t="shared" si="2"/>
        <v>0</v>
      </c>
      <c r="AK3">
        <f t="shared" si="2"/>
        <v>0</v>
      </c>
    </row>
    <row r="4" spans="1:37" x14ac:dyDescent="0.2">
      <c r="A4" s="5">
        <f>RANK(B4, B$2:B$100, 0)</f>
        <v>1</v>
      </c>
      <c r="B4" s="5">
        <f>SUM(P4:Y4)</f>
        <v>0</v>
      </c>
      <c r="C4" s="5" t="s">
        <v>1</v>
      </c>
      <c r="O4" s="5" t="str">
        <f>C4</f>
        <v>Logan</v>
      </c>
      <c r="P4">
        <f t="shared" ref="P4:Y4" si="3">IF(D4=D5,10*P$1*D4,10*P$1*-1*ABS((D4-D5)))</f>
        <v>0</v>
      </c>
      <c r="Q4">
        <f t="shared" si="3"/>
        <v>0</v>
      </c>
      <c r="R4">
        <f t="shared" si="3"/>
        <v>0</v>
      </c>
      <c r="S4">
        <f t="shared" si="3"/>
        <v>0</v>
      </c>
      <c r="T4">
        <f t="shared" si="3"/>
        <v>0</v>
      </c>
      <c r="U4">
        <f t="shared" si="3"/>
        <v>0</v>
      </c>
      <c r="V4">
        <f t="shared" si="3"/>
        <v>0</v>
      </c>
      <c r="W4">
        <f t="shared" si="3"/>
        <v>0</v>
      </c>
      <c r="X4">
        <f t="shared" si="3"/>
        <v>0</v>
      </c>
      <c r="Y4">
        <f t="shared" si="3"/>
        <v>0</v>
      </c>
      <c r="AA4" s="4" t="s">
        <v>26</v>
      </c>
      <c r="AB4">
        <f>P6</f>
        <v>0</v>
      </c>
      <c r="AC4">
        <f t="shared" ref="AC4:AK4" si="4">Q6</f>
        <v>0</v>
      </c>
      <c r="AD4">
        <f t="shared" si="4"/>
        <v>0</v>
      </c>
      <c r="AE4">
        <f t="shared" si="4"/>
        <v>0</v>
      </c>
      <c r="AF4">
        <f t="shared" si="4"/>
        <v>0</v>
      </c>
      <c r="AG4">
        <f t="shared" si="4"/>
        <v>0</v>
      </c>
      <c r="AH4">
        <f t="shared" si="4"/>
        <v>0</v>
      </c>
      <c r="AI4">
        <f t="shared" si="4"/>
        <v>0</v>
      </c>
      <c r="AJ4">
        <f t="shared" si="4"/>
        <v>0</v>
      </c>
      <c r="AK4">
        <f t="shared" si="4"/>
        <v>0</v>
      </c>
    </row>
    <row r="5" spans="1:37" x14ac:dyDescent="0.2">
      <c r="A5" s="5"/>
      <c r="B5" s="5"/>
      <c r="C5" s="5"/>
      <c r="O5" s="5"/>
      <c r="AA5" s="4" t="s">
        <v>22</v>
      </c>
      <c r="AB5">
        <f>P8</f>
        <v>0</v>
      </c>
      <c r="AC5">
        <f t="shared" ref="AC5:AK5" si="5">Q8</f>
        <v>0</v>
      </c>
      <c r="AD5">
        <f t="shared" si="5"/>
        <v>0</v>
      </c>
      <c r="AE5">
        <f t="shared" si="5"/>
        <v>0</v>
      </c>
      <c r="AF5">
        <f t="shared" si="5"/>
        <v>0</v>
      </c>
      <c r="AG5">
        <f t="shared" si="5"/>
        <v>0</v>
      </c>
      <c r="AH5">
        <f t="shared" si="5"/>
        <v>0</v>
      </c>
      <c r="AI5">
        <f t="shared" si="5"/>
        <v>0</v>
      </c>
      <c r="AJ5">
        <f t="shared" si="5"/>
        <v>0</v>
      </c>
      <c r="AK5">
        <f t="shared" si="5"/>
        <v>0</v>
      </c>
    </row>
    <row r="6" spans="1:37" x14ac:dyDescent="0.2">
      <c r="A6" s="5">
        <f>RANK(B6, B$2:B$100, 0)</f>
        <v>1</v>
      </c>
      <c r="B6" s="5">
        <f>SUM(P6:Y6)</f>
        <v>0</v>
      </c>
      <c r="C6" s="5" t="s">
        <v>26</v>
      </c>
      <c r="O6" s="5" t="str">
        <f>C6</f>
        <v>Dallyn</v>
      </c>
      <c r="P6">
        <f t="shared" ref="P6:Y6" si="6">IF(D6=D7,10*P$1*D6,10*P$1*-1*ABS((D6-D7)))</f>
        <v>0</v>
      </c>
      <c r="Q6">
        <f t="shared" si="6"/>
        <v>0</v>
      </c>
      <c r="R6">
        <f t="shared" si="6"/>
        <v>0</v>
      </c>
      <c r="S6">
        <f t="shared" si="6"/>
        <v>0</v>
      </c>
      <c r="T6">
        <f t="shared" si="6"/>
        <v>0</v>
      </c>
      <c r="U6">
        <f t="shared" si="6"/>
        <v>0</v>
      </c>
      <c r="V6">
        <f t="shared" si="6"/>
        <v>0</v>
      </c>
      <c r="W6">
        <f t="shared" si="6"/>
        <v>0</v>
      </c>
      <c r="X6">
        <f t="shared" si="6"/>
        <v>0</v>
      </c>
      <c r="Y6">
        <f t="shared" si="6"/>
        <v>0</v>
      </c>
      <c r="AA6" s="4" t="s">
        <v>2</v>
      </c>
      <c r="AB6">
        <f>P10</f>
        <v>0</v>
      </c>
      <c r="AC6">
        <f t="shared" ref="AC6:AK6" si="7">Q10</f>
        <v>0</v>
      </c>
      <c r="AD6">
        <f t="shared" si="7"/>
        <v>0</v>
      </c>
      <c r="AE6">
        <f t="shared" si="7"/>
        <v>0</v>
      </c>
      <c r="AF6">
        <f t="shared" si="7"/>
        <v>0</v>
      </c>
      <c r="AG6">
        <f t="shared" si="7"/>
        <v>0</v>
      </c>
      <c r="AH6">
        <f t="shared" si="7"/>
        <v>0</v>
      </c>
      <c r="AI6">
        <f t="shared" si="7"/>
        <v>0</v>
      </c>
      <c r="AJ6">
        <f t="shared" si="7"/>
        <v>0</v>
      </c>
      <c r="AK6">
        <f t="shared" si="7"/>
        <v>0</v>
      </c>
    </row>
    <row r="7" spans="1:37" x14ac:dyDescent="0.2">
      <c r="A7" s="5"/>
      <c r="B7" s="5"/>
      <c r="C7" s="5"/>
      <c r="O7" s="5"/>
      <c r="AA7" s="4" t="s">
        <v>3</v>
      </c>
      <c r="AB7">
        <f>P12</f>
        <v>0</v>
      </c>
      <c r="AC7">
        <f t="shared" ref="AC7:AK7" si="8">Q12</f>
        <v>0</v>
      </c>
      <c r="AD7">
        <f t="shared" si="8"/>
        <v>0</v>
      </c>
      <c r="AE7">
        <f t="shared" si="8"/>
        <v>0</v>
      </c>
      <c r="AF7">
        <f t="shared" si="8"/>
        <v>0</v>
      </c>
      <c r="AG7">
        <f t="shared" si="8"/>
        <v>0</v>
      </c>
      <c r="AH7">
        <f t="shared" si="8"/>
        <v>0</v>
      </c>
      <c r="AI7">
        <f t="shared" si="8"/>
        <v>0</v>
      </c>
      <c r="AJ7">
        <f t="shared" si="8"/>
        <v>0</v>
      </c>
      <c r="AK7">
        <f t="shared" si="8"/>
        <v>0</v>
      </c>
    </row>
    <row r="8" spans="1:37" x14ac:dyDescent="0.2">
      <c r="A8" s="5">
        <f>RANK(B8, B$2:B$100, 0)</f>
        <v>1</v>
      </c>
      <c r="B8" s="5">
        <f>SUM(P8:Y8)</f>
        <v>0</v>
      </c>
      <c r="C8" s="5" t="s">
        <v>22</v>
      </c>
      <c r="O8" s="5" t="str">
        <f>C8</f>
        <v>Kendall</v>
      </c>
      <c r="P8">
        <f t="shared" ref="P8:Y8" si="9">IF(D8=D9,10*P$1*D8,10*P$1*-1*ABS((D8-D9)))</f>
        <v>0</v>
      </c>
      <c r="Q8">
        <f t="shared" si="9"/>
        <v>0</v>
      </c>
      <c r="R8">
        <f t="shared" si="9"/>
        <v>0</v>
      </c>
      <c r="S8">
        <f t="shared" si="9"/>
        <v>0</v>
      </c>
      <c r="T8">
        <f t="shared" si="9"/>
        <v>0</v>
      </c>
      <c r="U8">
        <f t="shared" si="9"/>
        <v>0</v>
      </c>
      <c r="V8">
        <f t="shared" si="9"/>
        <v>0</v>
      </c>
      <c r="W8">
        <f t="shared" si="9"/>
        <v>0</v>
      </c>
      <c r="X8">
        <f t="shared" si="9"/>
        <v>0</v>
      </c>
      <c r="Y8">
        <f t="shared" si="9"/>
        <v>0</v>
      </c>
      <c r="AA8" s="4" t="s">
        <v>20</v>
      </c>
      <c r="AB8">
        <f>P14</f>
        <v>0</v>
      </c>
      <c r="AC8">
        <f t="shared" ref="AC8:AK8" si="10">Q14</f>
        <v>0</v>
      </c>
      <c r="AD8">
        <f t="shared" si="10"/>
        <v>0</v>
      </c>
      <c r="AE8">
        <f t="shared" si="10"/>
        <v>0</v>
      </c>
      <c r="AF8">
        <f t="shared" si="10"/>
        <v>0</v>
      </c>
      <c r="AG8">
        <f t="shared" si="10"/>
        <v>0</v>
      </c>
      <c r="AH8">
        <f t="shared" si="10"/>
        <v>0</v>
      </c>
      <c r="AI8">
        <f t="shared" si="10"/>
        <v>0</v>
      </c>
      <c r="AJ8">
        <f t="shared" si="10"/>
        <v>0</v>
      </c>
      <c r="AK8">
        <f t="shared" si="10"/>
        <v>0</v>
      </c>
    </row>
    <row r="9" spans="1:37" x14ac:dyDescent="0.2">
      <c r="A9" s="5"/>
      <c r="B9" s="5"/>
      <c r="C9" s="5"/>
      <c r="O9" s="5"/>
      <c r="AA9" s="4" t="s">
        <v>23</v>
      </c>
      <c r="AB9">
        <f>P16</f>
        <v>0</v>
      </c>
      <c r="AC9">
        <f t="shared" ref="AC9:AK9" si="11">Q16</f>
        <v>0</v>
      </c>
      <c r="AD9">
        <f t="shared" si="11"/>
        <v>0</v>
      </c>
      <c r="AE9">
        <f t="shared" si="11"/>
        <v>0</v>
      </c>
      <c r="AF9">
        <f t="shared" si="11"/>
        <v>0</v>
      </c>
      <c r="AG9">
        <f t="shared" si="11"/>
        <v>0</v>
      </c>
      <c r="AH9">
        <f t="shared" si="11"/>
        <v>0</v>
      </c>
      <c r="AI9">
        <f t="shared" si="11"/>
        <v>0</v>
      </c>
      <c r="AJ9">
        <f t="shared" si="11"/>
        <v>0</v>
      </c>
      <c r="AK9">
        <f t="shared" si="11"/>
        <v>0</v>
      </c>
    </row>
    <row r="10" spans="1:37" x14ac:dyDescent="0.2">
      <c r="A10" s="5">
        <f>RANK(B10, B$2:B$100, 0)</f>
        <v>1</v>
      </c>
      <c r="B10" s="5">
        <f>SUM(P10:Y10)</f>
        <v>0</v>
      </c>
      <c r="C10" s="5" t="s">
        <v>2</v>
      </c>
      <c r="O10" s="5" t="str">
        <f>C10</f>
        <v>Kaitlyn</v>
      </c>
      <c r="P10">
        <f t="shared" ref="P10:Y10" si="12">IF(D10=D11,10*P$1*D10,10*P$1*-1*ABS((D10-D11)))</f>
        <v>0</v>
      </c>
      <c r="Q10">
        <f t="shared" si="12"/>
        <v>0</v>
      </c>
      <c r="R10">
        <f t="shared" si="12"/>
        <v>0</v>
      </c>
      <c r="S10">
        <f t="shared" si="12"/>
        <v>0</v>
      </c>
      <c r="T10">
        <f t="shared" si="12"/>
        <v>0</v>
      </c>
      <c r="U10">
        <f t="shared" si="12"/>
        <v>0</v>
      </c>
      <c r="V10">
        <f t="shared" si="12"/>
        <v>0</v>
      </c>
      <c r="W10">
        <f t="shared" si="12"/>
        <v>0</v>
      </c>
      <c r="X10">
        <f t="shared" si="12"/>
        <v>0</v>
      </c>
      <c r="Y10">
        <f t="shared" si="12"/>
        <v>0</v>
      </c>
      <c r="AA10" s="4" t="s">
        <v>4</v>
      </c>
      <c r="AB10">
        <f>P18</f>
        <v>0</v>
      </c>
      <c r="AC10">
        <f t="shared" ref="AC10:AK10" si="13">Q18</f>
        <v>0</v>
      </c>
      <c r="AD10">
        <f t="shared" si="13"/>
        <v>0</v>
      </c>
      <c r="AE10">
        <f t="shared" si="13"/>
        <v>0</v>
      </c>
      <c r="AF10">
        <f t="shared" si="13"/>
        <v>0</v>
      </c>
      <c r="AG10">
        <f t="shared" si="13"/>
        <v>0</v>
      </c>
      <c r="AH10">
        <f t="shared" si="13"/>
        <v>0</v>
      </c>
      <c r="AI10">
        <f t="shared" si="13"/>
        <v>0</v>
      </c>
      <c r="AJ10">
        <f t="shared" si="13"/>
        <v>0</v>
      </c>
      <c r="AK10">
        <f t="shared" si="13"/>
        <v>0</v>
      </c>
    </row>
    <row r="11" spans="1:37" x14ac:dyDescent="0.2">
      <c r="A11" s="5"/>
      <c r="B11" s="5"/>
      <c r="C11" s="5"/>
      <c r="O11" s="5"/>
      <c r="AA11" s="4" t="s">
        <v>5</v>
      </c>
      <c r="AB11">
        <f>P20</f>
        <v>0</v>
      </c>
      <c r="AC11">
        <f t="shared" ref="AC11:AK11" si="14">Q20</f>
        <v>0</v>
      </c>
      <c r="AD11">
        <f t="shared" si="14"/>
        <v>0</v>
      </c>
      <c r="AE11">
        <f t="shared" si="14"/>
        <v>0</v>
      </c>
      <c r="AF11">
        <f t="shared" si="14"/>
        <v>0</v>
      </c>
      <c r="AG11">
        <f t="shared" si="14"/>
        <v>0</v>
      </c>
      <c r="AH11">
        <f t="shared" si="14"/>
        <v>0</v>
      </c>
      <c r="AI11">
        <f t="shared" si="14"/>
        <v>0</v>
      </c>
      <c r="AJ11">
        <f t="shared" si="14"/>
        <v>0</v>
      </c>
      <c r="AK11">
        <f t="shared" si="14"/>
        <v>0</v>
      </c>
    </row>
    <row r="12" spans="1:37" x14ac:dyDescent="0.2">
      <c r="A12" s="5">
        <f>RANK(B12, B$2:B$100, 0)</f>
        <v>1</v>
      </c>
      <c r="B12" s="5">
        <f>SUM(P12:Y12)</f>
        <v>0</v>
      </c>
      <c r="C12" s="5" t="s">
        <v>3</v>
      </c>
      <c r="O12" s="5" t="str">
        <f>C12</f>
        <v>Grant</v>
      </c>
      <c r="P12">
        <f t="shared" ref="P12:Y12" si="15">IF(D12=D13,10*P$1*D12,10*P$1*-1*ABS((D12-D13)))</f>
        <v>0</v>
      </c>
      <c r="Q12">
        <f t="shared" si="15"/>
        <v>0</v>
      </c>
      <c r="R12">
        <f t="shared" si="15"/>
        <v>0</v>
      </c>
      <c r="S12">
        <f t="shared" si="15"/>
        <v>0</v>
      </c>
      <c r="T12">
        <f t="shared" si="15"/>
        <v>0</v>
      </c>
      <c r="U12">
        <f t="shared" si="15"/>
        <v>0</v>
      </c>
      <c r="V12">
        <f t="shared" si="15"/>
        <v>0</v>
      </c>
      <c r="W12">
        <f t="shared" si="15"/>
        <v>0</v>
      </c>
      <c r="X12">
        <f t="shared" si="15"/>
        <v>0</v>
      </c>
      <c r="Y12">
        <f t="shared" si="15"/>
        <v>0</v>
      </c>
      <c r="AA12" s="4" t="s">
        <v>21</v>
      </c>
      <c r="AB12">
        <f>P22</f>
        <v>0</v>
      </c>
      <c r="AC12">
        <f t="shared" ref="AC12:AK12" si="16">Q22</f>
        <v>0</v>
      </c>
      <c r="AD12">
        <f t="shared" si="16"/>
        <v>0</v>
      </c>
      <c r="AE12">
        <f t="shared" si="16"/>
        <v>0</v>
      </c>
      <c r="AF12">
        <f t="shared" si="16"/>
        <v>0</v>
      </c>
      <c r="AG12">
        <f t="shared" si="16"/>
        <v>0</v>
      </c>
      <c r="AH12">
        <f t="shared" si="16"/>
        <v>0</v>
      </c>
      <c r="AI12">
        <f t="shared" si="16"/>
        <v>0</v>
      </c>
      <c r="AJ12">
        <f t="shared" si="16"/>
        <v>0</v>
      </c>
      <c r="AK12">
        <f t="shared" si="16"/>
        <v>0</v>
      </c>
    </row>
    <row r="13" spans="1:37" x14ac:dyDescent="0.2">
      <c r="A13" s="5"/>
      <c r="B13" s="5"/>
      <c r="C13" s="5"/>
      <c r="O13" s="5"/>
      <c r="AA13" s="4" t="s">
        <v>6</v>
      </c>
      <c r="AB13">
        <f>P24</f>
        <v>0</v>
      </c>
      <c r="AC13">
        <f t="shared" ref="AC13:AK13" si="17">Q24</f>
        <v>0</v>
      </c>
      <c r="AD13">
        <f t="shared" si="17"/>
        <v>0</v>
      </c>
      <c r="AE13">
        <f t="shared" si="17"/>
        <v>0</v>
      </c>
      <c r="AF13">
        <f t="shared" si="17"/>
        <v>0</v>
      </c>
      <c r="AG13">
        <f t="shared" si="17"/>
        <v>0</v>
      </c>
      <c r="AH13">
        <f t="shared" si="17"/>
        <v>0</v>
      </c>
      <c r="AI13">
        <f t="shared" si="17"/>
        <v>0</v>
      </c>
      <c r="AJ13">
        <f t="shared" si="17"/>
        <v>0</v>
      </c>
      <c r="AK13">
        <f t="shared" si="17"/>
        <v>0</v>
      </c>
    </row>
    <row r="14" spans="1:37" x14ac:dyDescent="0.2">
      <c r="A14" s="5">
        <f>RANK(B14, B$2:B$100, 0)</f>
        <v>1</v>
      </c>
      <c r="B14" s="5">
        <f>SUM(P14:Y14)</f>
        <v>0</v>
      </c>
      <c r="C14" s="5" t="s">
        <v>20</v>
      </c>
      <c r="O14" s="5" t="str">
        <f>C14</f>
        <v>Caden C</v>
      </c>
      <c r="P14">
        <f t="shared" ref="P14:Y14" si="18">IF(D14=D15,10*P$1*D14,10*P$1*-1*ABS((D14-D15)))</f>
        <v>0</v>
      </c>
      <c r="Q14">
        <f t="shared" si="18"/>
        <v>0</v>
      </c>
      <c r="R14">
        <f t="shared" si="18"/>
        <v>0</v>
      </c>
      <c r="S14">
        <f t="shared" si="18"/>
        <v>0</v>
      </c>
      <c r="T14">
        <f t="shared" si="18"/>
        <v>0</v>
      </c>
      <c r="U14">
        <f t="shared" si="18"/>
        <v>0</v>
      </c>
      <c r="V14">
        <f t="shared" si="18"/>
        <v>0</v>
      </c>
      <c r="W14">
        <f t="shared" si="18"/>
        <v>0</v>
      </c>
      <c r="X14">
        <f t="shared" si="18"/>
        <v>0</v>
      </c>
      <c r="Y14">
        <f t="shared" si="18"/>
        <v>0</v>
      </c>
      <c r="AA14" s="4" t="s">
        <v>7</v>
      </c>
      <c r="AB14">
        <f>P26</f>
        <v>0</v>
      </c>
      <c r="AC14">
        <f t="shared" ref="AC14:AK14" si="19">Q26</f>
        <v>0</v>
      </c>
      <c r="AD14">
        <f t="shared" si="19"/>
        <v>0</v>
      </c>
      <c r="AE14">
        <f t="shared" si="19"/>
        <v>0</v>
      </c>
      <c r="AF14">
        <f t="shared" si="19"/>
        <v>0</v>
      </c>
      <c r="AG14">
        <f t="shared" si="19"/>
        <v>0</v>
      </c>
      <c r="AH14">
        <f t="shared" si="19"/>
        <v>0</v>
      </c>
      <c r="AI14">
        <f t="shared" si="19"/>
        <v>0</v>
      </c>
      <c r="AJ14">
        <f t="shared" si="19"/>
        <v>0</v>
      </c>
      <c r="AK14">
        <f t="shared" si="19"/>
        <v>0</v>
      </c>
    </row>
    <row r="15" spans="1:37" x14ac:dyDescent="0.2">
      <c r="A15" s="5"/>
      <c r="B15" s="5"/>
      <c r="C15" s="5"/>
      <c r="O15" s="5"/>
      <c r="AA15" s="4" t="s">
        <v>8</v>
      </c>
      <c r="AB15">
        <f>P28</f>
        <v>0</v>
      </c>
      <c r="AC15">
        <f t="shared" ref="AC15:AK15" si="20">Q28</f>
        <v>0</v>
      </c>
      <c r="AD15">
        <f t="shared" si="20"/>
        <v>0</v>
      </c>
      <c r="AE15">
        <f t="shared" si="20"/>
        <v>0</v>
      </c>
      <c r="AF15">
        <f t="shared" si="20"/>
        <v>0</v>
      </c>
      <c r="AG15">
        <f t="shared" si="20"/>
        <v>0</v>
      </c>
      <c r="AH15">
        <f t="shared" si="20"/>
        <v>0</v>
      </c>
      <c r="AI15">
        <f t="shared" si="20"/>
        <v>0</v>
      </c>
      <c r="AJ15">
        <f t="shared" si="20"/>
        <v>0</v>
      </c>
      <c r="AK15">
        <f t="shared" si="20"/>
        <v>0</v>
      </c>
    </row>
    <row r="16" spans="1:37" x14ac:dyDescent="0.2">
      <c r="A16" s="5">
        <f>RANK(B16, B$2:B$100, 0)</f>
        <v>1</v>
      </c>
      <c r="B16" s="5">
        <f>SUM(P16:Y16)</f>
        <v>0</v>
      </c>
      <c r="C16" s="5" t="s">
        <v>23</v>
      </c>
      <c r="O16" s="5" t="str">
        <f>C16</f>
        <v>Kamber</v>
      </c>
      <c r="P16">
        <f t="shared" ref="P16:Y16" si="21">IF(D16=D17,10*P$1*D16,10*P$1*-1*ABS((D16-D17)))</f>
        <v>0</v>
      </c>
      <c r="Q16">
        <f t="shared" si="21"/>
        <v>0</v>
      </c>
      <c r="R16">
        <f t="shared" si="21"/>
        <v>0</v>
      </c>
      <c r="S16">
        <f t="shared" si="21"/>
        <v>0</v>
      </c>
      <c r="T16">
        <f t="shared" si="21"/>
        <v>0</v>
      </c>
      <c r="U16">
        <f t="shared" si="21"/>
        <v>0</v>
      </c>
      <c r="V16">
        <f t="shared" si="21"/>
        <v>0</v>
      </c>
      <c r="W16">
        <f t="shared" si="21"/>
        <v>0</v>
      </c>
      <c r="X16">
        <f t="shared" si="21"/>
        <v>0</v>
      </c>
      <c r="Y16">
        <f t="shared" si="21"/>
        <v>0</v>
      </c>
      <c r="AA16" s="4" t="s">
        <v>9</v>
      </c>
      <c r="AB16">
        <f>P30</f>
        <v>0</v>
      </c>
      <c r="AC16">
        <f t="shared" ref="AC16:AK16" si="22">Q30</f>
        <v>0</v>
      </c>
      <c r="AD16">
        <f t="shared" si="22"/>
        <v>0</v>
      </c>
      <c r="AE16">
        <f t="shared" si="22"/>
        <v>0</v>
      </c>
      <c r="AF16">
        <f t="shared" si="22"/>
        <v>0</v>
      </c>
      <c r="AG16">
        <f t="shared" si="22"/>
        <v>0</v>
      </c>
      <c r="AH16">
        <f t="shared" si="22"/>
        <v>0</v>
      </c>
      <c r="AI16">
        <f t="shared" si="22"/>
        <v>0</v>
      </c>
      <c r="AJ16">
        <f t="shared" si="22"/>
        <v>0</v>
      </c>
      <c r="AK16">
        <f t="shared" si="22"/>
        <v>0</v>
      </c>
    </row>
    <row r="17" spans="1:27" x14ac:dyDescent="0.2">
      <c r="A17" s="5"/>
      <c r="B17" s="5"/>
      <c r="C17" s="5"/>
      <c r="O17" s="5"/>
    </row>
    <row r="18" spans="1:27" x14ac:dyDescent="0.2">
      <c r="A18" s="5">
        <f>RANK(B18, B$2:B$100, 0)</f>
        <v>1</v>
      </c>
      <c r="B18" s="5">
        <f>SUM(P18:Y18)</f>
        <v>0</v>
      </c>
      <c r="C18" s="5" t="s">
        <v>4</v>
      </c>
      <c r="O18" s="5" t="str">
        <f>C18</f>
        <v>Rachel</v>
      </c>
      <c r="P18">
        <f t="shared" ref="P18:Y18" si="23">IF(D18=D19,10*P$1*D18,10*P$1*-1*ABS((D18-D19)))</f>
        <v>0</v>
      </c>
      <c r="Q18">
        <f t="shared" si="23"/>
        <v>0</v>
      </c>
      <c r="R18">
        <f t="shared" si="23"/>
        <v>0</v>
      </c>
      <c r="S18">
        <f t="shared" si="23"/>
        <v>0</v>
      </c>
      <c r="T18">
        <f t="shared" si="23"/>
        <v>0</v>
      </c>
      <c r="U18">
        <f t="shared" si="23"/>
        <v>0</v>
      </c>
      <c r="V18">
        <f t="shared" si="23"/>
        <v>0</v>
      </c>
      <c r="W18">
        <f t="shared" si="23"/>
        <v>0</v>
      </c>
      <c r="X18">
        <f t="shared" si="23"/>
        <v>0</v>
      </c>
      <c r="Y18">
        <f t="shared" si="23"/>
        <v>0</v>
      </c>
      <c r="AA18" s="3"/>
    </row>
    <row r="19" spans="1:27" x14ac:dyDescent="0.2">
      <c r="A19" s="5"/>
      <c r="B19" s="5"/>
      <c r="C19" s="5"/>
      <c r="O19" s="5"/>
    </row>
    <row r="20" spans="1:27" x14ac:dyDescent="0.2">
      <c r="A20" s="5">
        <f>RANK(B20, B$2:B$100, 0)</f>
        <v>1</v>
      </c>
      <c r="B20" s="5">
        <f>SUM(P20:Y20)</f>
        <v>0</v>
      </c>
      <c r="C20" s="5" t="s">
        <v>5</v>
      </c>
      <c r="O20" s="5" t="str">
        <f>C20</f>
        <v>Annie</v>
      </c>
      <c r="P20">
        <f t="shared" ref="P20:Y20" si="24">IF(D20=D21,10*P$1*D20,10*P$1*-1*ABS((D20-D21)))</f>
        <v>0</v>
      </c>
      <c r="Q20">
        <f t="shared" si="24"/>
        <v>0</v>
      </c>
      <c r="R20">
        <f t="shared" si="24"/>
        <v>0</v>
      </c>
      <c r="S20">
        <f t="shared" si="24"/>
        <v>0</v>
      </c>
      <c r="T20">
        <f t="shared" si="24"/>
        <v>0</v>
      </c>
      <c r="U20">
        <f t="shared" si="24"/>
        <v>0</v>
      </c>
      <c r="V20">
        <f t="shared" si="24"/>
        <v>0</v>
      </c>
      <c r="W20">
        <f t="shared" si="24"/>
        <v>0</v>
      </c>
      <c r="X20">
        <f t="shared" si="24"/>
        <v>0</v>
      </c>
      <c r="Y20">
        <f t="shared" si="24"/>
        <v>0</v>
      </c>
      <c r="AA20" s="3"/>
    </row>
    <row r="21" spans="1:27" x14ac:dyDescent="0.2">
      <c r="A21" s="5"/>
      <c r="B21" s="5"/>
      <c r="C21" s="5"/>
      <c r="O21" s="5"/>
    </row>
    <row r="22" spans="1:27" x14ac:dyDescent="0.2">
      <c r="A22" s="5">
        <f>RANK(B22, B$2:B$100, 0)</f>
        <v>1</v>
      </c>
      <c r="B22" s="5">
        <f>SUM(P22:Y22)</f>
        <v>0</v>
      </c>
      <c r="C22" s="5" t="s">
        <v>21</v>
      </c>
      <c r="O22" s="5" t="str">
        <f>C22</f>
        <v>Chelsea</v>
      </c>
      <c r="P22">
        <f t="shared" ref="P22:Y22" si="25">IF(D22=D23,10*P$1*D22,10*P$1*-1*ABS((D22-D23)))</f>
        <v>0</v>
      </c>
      <c r="Q22">
        <f t="shared" si="25"/>
        <v>0</v>
      </c>
      <c r="R22">
        <f t="shared" si="25"/>
        <v>0</v>
      </c>
      <c r="S22">
        <f t="shared" si="25"/>
        <v>0</v>
      </c>
      <c r="T22">
        <f t="shared" si="25"/>
        <v>0</v>
      </c>
      <c r="U22">
        <f t="shared" si="25"/>
        <v>0</v>
      </c>
      <c r="V22">
        <f t="shared" si="25"/>
        <v>0</v>
      </c>
      <c r="W22">
        <f t="shared" si="25"/>
        <v>0</v>
      </c>
      <c r="X22">
        <f t="shared" si="25"/>
        <v>0</v>
      </c>
      <c r="Y22">
        <f t="shared" si="25"/>
        <v>0</v>
      </c>
      <c r="AA22" s="3"/>
    </row>
    <row r="23" spans="1:27" x14ac:dyDescent="0.2">
      <c r="A23" s="5"/>
      <c r="B23" s="5"/>
      <c r="C23" s="5"/>
      <c r="O23" s="5"/>
    </row>
    <row r="24" spans="1:27" x14ac:dyDescent="0.2">
      <c r="A24" s="5">
        <f>RANK(B24, B$2:B$100, 0)</f>
        <v>1</v>
      </c>
      <c r="B24" s="5">
        <f>SUM(P24:Y24)</f>
        <v>0</v>
      </c>
      <c r="C24" s="5" t="s">
        <v>6</v>
      </c>
      <c r="O24" s="5" t="str">
        <f>C24</f>
        <v>Jeff</v>
      </c>
      <c r="P24">
        <f t="shared" ref="P24:Y24" si="26">IF(D24=D25,10*P$1*D24,10*P$1*-1*ABS((D24-D25)))</f>
        <v>0</v>
      </c>
      <c r="Q24">
        <f t="shared" si="26"/>
        <v>0</v>
      </c>
      <c r="R24">
        <f t="shared" si="26"/>
        <v>0</v>
      </c>
      <c r="S24">
        <f t="shared" si="26"/>
        <v>0</v>
      </c>
      <c r="T24">
        <f t="shared" si="26"/>
        <v>0</v>
      </c>
      <c r="U24">
        <f t="shared" si="26"/>
        <v>0</v>
      </c>
      <c r="V24">
        <f t="shared" si="26"/>
        <v>0</v>
      </c>
      <c r="W24">
        <f t="shared" si="26"/>
        <v>0</v>
      </c>
      <c r="X24">
        <f t="shared" si="26"/>
        <v>0</v>
      </c>
      <c r="Y24">
        <f t="shared" si="26"/>
        <v>0</v>
      </c>
      <c r="AA24" s="3"/>
    </row>
    <row r="25" spans="1:27" x14ac:dyDescent="0.2">
      <c r="A25" s="5"/>
      <c r="B25" s="5"/>
      <c r="C25" s="5"/>
      <c r="O25" s="5"/>
    </row>
    <row r="26" spans="1:27" x14ac:dyDescent="0.2">
      <c r="A26" s="5">
        <f>RANK(B26, B$2:B$100, 0)</f>
        <v>1</v>
      </c>
      <c r="B26" s="5">
        <f>SUM(P26:Y26)</f>
        <v>0</v>
      </c>
      <c r="C26" s="5" t="s">
        <v>7</v>
      </c>
      <c r="O26" s="5" t="str">
        <f>C26</f>
        <v>Caelyn</v>
      </c>
      <c r="P26">
        <f t="shared" ref="P26:Y26" si="27">IF(D26=D27,10*P$1*D26,10*P$1*-1*ABS((D26-D27)))</f>
        <v>0</v>
      </c>
      <c r="Q26">
        <f t="shared" si="27"/>
        <v>0</v>
      </c>
      <c r="R26">
        <f t="shared" si="27"/>
        <v>0</v>
      </c>
      <c r="S26">
        <f t="shared" si="27"/>
        <v>0</v>
      </c>
      <c r="T26">
        <f t="shared" si="27"/>
        <v>0</v>
      </c>
      <c r="U26">
        <f t="shared" si="27"/>
        <v>0</v>
      </c>
      <c r="V26">
        <f t="shared" si="27"/>
        <v>0</v>
      </c>
      <c r="W26">
        <f t="shared" si="27"/>
        <v>0</v>
      </c>
      <c r="X26">
        <f t="shared" si="27"/>
        <v>0</v>
      </c>
      <c r="Y26">
        <f t="shared" si="27"/>
        <v>0</v>
      </c>
      <c r="AA26" s="3"/>
    </row>
    <row r="27" spans="1:27" x14ac:dyDescent="0.2">
      <c r="A27" s="5"/>
      <c r="B27" s="5"/>
      <c r="C27" s="5"/>
      <c r="O27" s="5"/>
    </row>
    <row r="28" spans="1:27" x14ac:dyDescent="0.2">
      <c r="A28" s="5">
        <f>RANK(B28, B$2:B$100, 0)</f>
        <v>1</v>
      </c>
      <c r="B28" s="5">
        <f>SUM(P28:Y28)</f>
        <v>0</v>
      </c>
      <c r="C28" s="5" t="s">
        <v>8</v>
      </c>
      <c r="O28" s="5" t="str">
        <f>C28</f>
        <v>Paul</v>
      </c>
      <c r="P28">
        <f t="shared" ref="P28:Y28" si="28">IF(D28=D29,10*P$1*D28,10*P$1*-1*ABS((D28-D29)))</f>
        <v>0</v>
      </c>
      <c r="Q28">
        <f t="shared" si="28"/>
        <v>0</v>
      </c>
      <c r="R28">
        <f t="shared" si="28"/>
        <v>0</v>
      </c>
      <c r="S28">
        <f t="shared" si="28"/>
        <v>0</v>
      </c>
      <c r="T28">
        <f t="shared" si="28"/>
        <v>0</v>
      </c>
      <c r="U28">
        <f t="shared" si="28"/>
        <v>0</v>
      </c>
      <c r="V28">
        <f t="shared" si="28"/>
        <v>0</v>
      </c>
      <c r="W28">
        <f t="shared" si="28"/>
        <v>0</v>
      </c>
      <c r="X28">
        <f t="shared" si="28"/>
        <v>0</v>
      </c>
      <c r="Y28">
        <f t="shared" si="28"/>
        <v>0</v>
      </c>
      <c r="AA28" s="3"/>
    </row>
    <row r="29" spans="1:27" x14ac:dyDescent="0.2">
      <c r="A29" s="5"/>
      <c r="B29" s="5"/>
      <c r="C29" s="5"/>
      <c r="O29" s="5"/>
    </row>
    <row r="30" spans="1:27" x14ac:dyDescent="0.2">
      <c r="A30" s="5">
        <f>RANK(B30, B$2:B$100, 0)</f>
        <v>1</v>
      </c>
      <c r="B30" s="5">
        <f>SUM(P30:Y30)</f>
        <v>0</v>
      </c>
      <c r="C30" s="5" t="s">
        <v>9</v>
      </c>
      <c r="O30" s="5" t="str">
        <f>C30</f>
        <v>Morgan</v>
      </c>
      <c r="P30">
        <f t="shared" ref="P30:Y30" si="29">IF(D30=D31,10*P$1*D30,10*P$1*-1*ABS((D30-D31)))</f>
        <v>0</v>
      </c>
      <c r="Q30">
        <f t="shared" si="29"/>
        <v>0</v>
      </c>
      <c r="R30">
        <f t="shared" si="29"/>
        <v>0</v>
      </c>
      <c r="S30">
        <f t="shared" si="29"/>
        <v>0</v>
      </c>
      <c r="T30">
        <f t="shared" si="29"/>
        <v>0</v>
      </c>
      <c r="U30">
        <f t="shared" si="29"/>
        <v>0</v>
      </c>
      <c r="V30">
        <f t="shared" si="29"/>
        <v>0</v>
      </c>
      <c r="W30">
        <f t="shared" si="29"/>
        <v>0</v>
      </c>
      <c r="X30">
        <f t="shared" si="29"/>
        <v>0</v>
      </c>
      <c r="Y30">
        <f t="shared" si="29"/>
        <v>0</v>
      </c>
      <c r="AA30" s="3"/>
    </row>
    <row r="31" spans="1:27" x14ac:dyDescent="0.2">
      <c r="A31" s="5"/>
      <c r="B31" s="5"/>
      <c r="C31" s="5"/>
      <c r="O31" s="5"/>
    </row>
    <row r="33" spans="3:13" x14ac:dyDescent="0.2">
      <c r="C33" s="2" t="s">
        <v>27</v>
      </c>
      <c r="D33">
        <f>D2+D4+D6+D8+D10+D12+D14+D16+D18+D20+D22+D24+D26+D28+D30</f>
        <v>0</v>
      </c>
      <c r="E33">
        <f t="shared" ref="E33:M34" si="30">E2+E4+E6+E8+E10+E12+E14+E16+E18+E20+E22+E24+E26+E28+E30</f>
        <v>0</v>
      </c>
      <c r="F33">
        <f t="shared" si="30"/>
        <v>0</v>
      </c>
      <c r="G33">
        <f t="shared" si="30"/>
        <v>0</v>
      </c>
      <c r="H33">
        <f t="shared" si="30"/>
        <v>0</v>
      </c>
      <c r="I33">
        <f t="shared" si="30"/>
        <v>0</v>
      </c>
      <c r="J33">
        <f t="shared" si="30"/>
        <v>0</v>
      </c>
      <c r="K33">
        <f t="shared" si="30"/>
        <v>0</v>
      </c>
      <c r="L33">
        <f t="shared" si="30"/>
        <v>0</v>
      </c>
      <c r="M33">
        <f t="shared" si="30"/>
        <v>0</v>
      </c>
    </row>
    <row r="34" spans="3:13" x14ac:dyDescent="0.2">
      <c r="C34" s="2" t="s">
        <v>28</v>
      </c>
      <c r="D34">
        <f>D3+D5+D7+D9+D11+D13+D15+D17+D19+D21+D23+D25+D27+D29+D31</f>
        <v>0</v>
      </c>
      <c r="E34">
        <f t="shared" si="30"/>
        <v>0</v>
      </c>
      <c r="F34">
        <f t="shared" si="30"/>
        <v>0</v>
      </c>
      <c r="G34">
        <f t="shared" si="30"/>
        <v>0</v>
      </c>
      <c r="H34">
        <f t="shared" si="30"/>
        <v>0</v>
      </c>
      <c r="I34">
        <f t="shared" si="30"/>
        <v>0</v>
      </c>
      <c r="J34">
        <f t="shared" si="30"/>
        <v>0</v>
      </c>
      <c r="K34">
        <f t="shared" si="30"/>
        <v>0</v>
      </c>
      <c r="L34">
        <f t="shared" si="30"/>
        <v>0</v>
      </c>
      <c r="M34">
        <f t="shared" si="30"/>
        <v>0</v>
      </c>
    </row>
  </sheetData>
  <mergeCells count="60">
    <mergeCell ref="A30:A31"/>
    <mergeCell ref="B30:B31"/>
    <mergeCell ref="C30:C31"/>
    <mergeCell ref="O30:O31"/>
    <mergeCell ref="A26:A27"/>
    <mergeCell ref="B26:B27"/>
    <mergeCell ref="C26:C27"/>
    <mergeCell ref="O26:O27"/>
    <mergeCell ref="A28:A29"/>
    <mergeCell ref="B28:B29"/>
    <mergeCell ref="C28:C29"/>
    <mergeCell ref="O28:O29"/>
    <mergeCell ref="A22:A23"/>
    <mergeCell ref="B22:B23"/>
    <mergeCell ref="C22:C23"/>
    <mergeCell ref="O22:O23"/>
    <mergeCell ref="A24:A25"/>
    <mergeCell ref="B24:B25"/>
    <mergeCell ref="C24:C25"/>
    <mergeCell ref="O24:O25"/>
    <mergeCell ref="A18:A19"/>
    <mergeCell ref="B18:B19"/>
    <mergeCell ref="C18:C19"/>
    <mergeCell ref="O18:O19"/>
    <mergeCell ref="A20:A21"/>
    <mergeCell ref="B20:B21"/>
    <mergeCell ref="C20:C21"/>
    <mergeCell ref="O20:O21"/>
    <mergeCell ref="A14:A15"/>
    <mergeCell ref="B14:B15"/>
    <mergeCell ref="C14:C15"/>
    <mergeCell ref="O14:O15"/>
    <mergeCell ref="A16:A17"/>
    <mergeCell ref="B16:B17"/>
    <mergeCell ref="C16:C17"/>
    <mergeCell ref="O16:O17"/>
    <mergeCell ref="A10:A11"/>
    <mergeCell ref="B10:B11"/>
    <mergeCell ref="C10:C11"/>
    <mergeCell ref="O10:O11"/>
    <mergeCell ref="A12:A13"/>
    <mergeCell ref="B12:B13"/>
    <mergeCell ref="C12:C13"/>
    <mergeCell ref="O12:O13"/>
    <mergeCell ref="A6:A7"/>
    <mergeCell ref="B6:B7"/>
    <mergeCell ref="C6:C7"/>
    <mergeCell ref="O6:O7"/>
    <mergeCell ref="A8:A9"/>
    <mergeCell ref="B8:B9"/>
    <mergeCell ref="C8:C9"/>
    <mergeCell ref="O8:O9"/>
    <mergeCell ref="A2:A3"/>
    <mergeCell ref="B2:B3"/>
    <mergeCell ref="C2:C3"/>
    <mergeCell ref="O2:O3"/>
    <mergeCell ref="A4:A5"/>
    <mergeCell ref="B4:B5"/>
    <mergeCell ref="C4:C5"/>
    <mergeCell ref="O4:O5"/>
  </mergeCells>
  <conditionalFormatting sqref="A1:A2 A4 A6 A8 A10 A12 A14 A16 A18 A20 A22 A24 A28 A30 A32 A34:A1048576 A26">
    <cfRule type="top10" dxfId="15" priority="1" bottom="1" rank="3"/>
    <cfRule type="top10" dxfId="14" priority="2" bottom="1" rank="3"/>
    <cfRule type="top10" dxfId="13" priority="3" rank="4"/>
    <cfRule type="top10" dxfId="12" priority="6" bottom="1" rank="3"/>
    <cfRule type="top10" dxfId="11" priority="7" rank="3"/>
  </conditionalFormatting>
  <conditionalFormatting sqref="A2 A4 A6 A8 A10 A12 A14 A16 A18 A20 A22 A24 A28 A30 A26">
    <cfRule type="top10" dxfId="10" priority="4" bottom="1" rank="3"/>
    <cfRule type="top10" dxfId="9" priority="5" rank="3"/>
    <cfRule type="top10" dxfId="8" priority="8" rank="3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5DAD-9619-D343-917A-49190D3FC5C6}">
  <dimension ref="A1:AK22"/>
  <sheetViews>
    <sheetView tabSelected="1" zoomScale="125" zoomScaleNormal="110" workbookViewId="0">
      <selection activeCell="J10" sqref="J10"/>
    </sheetView>
  </sheetViews>
  <sheetFormatPr baseColWidth="10" defaultRowHeight="16" x14ac:dyDescent="0.2"/>
  <cols>
    <col min="2" max="2" width="10.83203125" style="3"/>
    <col min="3" max="3" width="10.83203125" style="2"/>
  </cols>
  <sheetData>
    <row r="1" spans="1:37" x14ac:dyDescent="0.2">
      <c r="A1" s="3" t="s">
        <v>24</v>
      </c>
      <c r="B1" s="3" t="s">
        <v>25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">
      <c r="A2" s="5">
        <f>RANK(B2, B$2:B$88, 0)</f>
        <v>1</v>
      </c>
      <c r="B2" s="5">
        <f>SUM(P2:Y2)</f>
        <v>90</v>
      </c>
      <c r="C2" s="5" t="s">
        <v>0</v>
      </c>
      <c r="D2">
        <v>0</v>
      </c>
      <c r="E2">
        <v>3</v>
      </c>
      <c r="F2">
        <v>1</v>
      </c>
      <c r="G2">
        <v>0</v>
      </c>
      <c r="H2">
        <v>0</v>
      </c>
      <c r="O2" s="5" t="s">
        <v>0</v>
      </c>
      <c r="P2">
        <f t="shared" ref="P2:Y2" si="0">IF(D2=D3,10*P$1*D2,10*P$1*-1*ABS((D2-D3)))</f>
        <v>0</v>
      </c>
      <c r="Q2">
        <f t="shared" si="0"/>
        <v>60</v>
      </c>
      <c r="R2">
        <f t="shared" si="0"/>
        <v>30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AA2" s="4"/>
    </row>
    <row r="3" spans="1:37" x14ac:dyDescent="0.2">
      <c r="A3" s="5"/>
      <c r="B3" s="5"/>
      <c r="C3" s="5"/>
      <c r="D3">
        <v>0</v>
      </c>
      <c r="E3">
        <v>3</v>
      </c>
      <c r="F3">
        <v>1</v>
      </c>
      <c r="G3">
        <v>0</v>
      </c>
      <c r="H3">
        <v>0</v>
      </c>
      <c r="O3" s="5"/>
      <c r="AA3" s="4"/>
    </row>
    <row r="4" spans="1:37" x14ac:dyDescent="0.2">
      <c r="A4" s="5">
        <f>RANK(B4, B$2:B$88, 0)</f>
        <v>2</v>
      </c>
      <c r="B4" s="5">
        <f>SUM(P4:Y4)</f>
        <v>20</v>
      </c>
      <c r="C4" s="5" t="s">
        <v>1</v>
      </c>
      <c r="D4">
        <v>2</v>
      </c>
      <c r="E4">
        <v>0</v>
      </c>
      <c r="F4">
        <v>0</v>
      </c>
      <c r="G4">
        <v>0</v>
      </c>
      <c r="H4">
        <v>0</v>
      </c>
      <c r="O4" s="5" t="s">
        <v>1</v>
      </c>
      <c r="P4">
        <f t="shared" ref="P4:Y4" si="1">IF(D4=D5,10*P$1*D4,10*P$1*-1*ABS((D4-D5)))</f>
        <v>20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AA4" s="4"/>
    </row>
    <row r="5" spans="1:37" x14ac:dyDescent="0.2">
      <c r="A5" s="5"/>
      <c r="B5" s="5"/>
      <c r="C5" s="5"/>
      <c r="D5">
        <v>2</v>
      </c>
      <c r="E5">
        <v>0</v>
      </c>
      <c r="F5">
        <v>0</v>
      </c>
      <c r="G5">
        <v>0</v>
      </c>
      <c r="H5">
        <v>0</v>
      </c>
      <c r="O5" s="5"/>
      <c r="AA5" s="4"/>
    </row>
    <row r="6" spans="1:37" x14ac:dyDescent="0.2">
      <c r="A6" s="5">
        <f>RANK(B6, B$2:B$88, 0)</f>
        <v>2</v>
      </c>
      <c r="B6" s="5">
        <f>SUM(P6:Y6)</f>
        <v>20</v>
      </c>
      <c r="C6" s="5" t="s">
        <v>3</v>
      </c>
      <c r="D6">
        <v>2</v>
      </c>
      <c r="E6">
        <v>1</v>
      </c>
      <c r="F6">
        <v>2</v>
      </c>
      <c r="G6">
        <v>0</v>
      </c>
      <c r="H6">
        <v>1</v>
      </c>
      <c r="O6" s="5" t="s">
        <v>3</v>
      </c>
      <c r="P6">
        <f t="shared" ref="P6:Y6" si="2">IF(D6=D7,10*P$1*D6,10*P$1*-1*ABS((D6-D7)))</f>
        <v>20</v>
      </c>
      <c r="Q6">
        <f t="shared" si="2"/>
        <v>-20</v>
      </c>
      <c r="R6">
        <f t="shared" si="2"/>
        <v>-30</v>
      </c>
      <c r="S6">
        <f t="shared" si="2"/>
        <v>0</v>
      </c>
      <c r="T6">
        <f t="shared" si="2"/>
        <v>50</v>
      </c>
      <c r="U6">
        <f t="shared" si="2"/>
        <v>0</v>
      </c>
      <c r="V6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  <c r="AA6" s="4"/>
    </row>
    <row r="7" spans="1:37" x14ac:dyDescent="0.2">
      <c r="A7" s="5"/>
      <c r="B7" s="5"/>
      <c r="C7" s="5"/>
      <c r="D7">
        <v>2</v>
      </c>
      <c r="E7">
        <v>0</v>
      </c>
      <c r="F7">
        <v>1</v>
      </c>
      <c r="G7">
        <v>0</v>
      </c>
      <c r="H7">
        <v>1</v>
      </c>
      <c r="O7" s="5"/>
      <c r="AA7" s="4"/>
    </row>
    <row r="8" spans="1:37" x14ac:dyDescent="0.2">
      <c r="A8" s="5">
        <f>RANK(B8, B$2:B$88, 0)</f>
        <v>6</v>
      </c>
      <c r="B8" s="5">
        <f>SUM(P8:Y8)</f>
        <v>-50</v>
      </c>
      <c r="C8" s="5" t="s">
        <v>32</v>
      </c>
      <c r="D8">
        <v>1</v>
      </c>
      <c r="E8">
        <v>1</v>
      </c>
      <c r="F8">
        <v>1</v>
      </c>
      <c r="G8">
        <v>2</v>
      </c>
      <c r="H8">
        <v>2</v>
      </c>
      <c r="O8" s="5" t="s">
        <v>32</v>
      </c>
      <c r="P8">
        <f t="shared" ref="P8:Y8" si="3">IF(D8=D9,10*P$1*D8,10*P$1*-1*ABS((D8-D9)))</f>
        <v>10</v>
      </c>
      <c r="Q8">
        <f t="shared" si="3"/>
        <v>-20</v>
      </c>
      <c r="R8">
        <f t="shared" si="3"/>
        <v>-60</v>
      </c>
      <c r="S8">
        <f t="shared" si="3"/>
        <v>-80</v>
      </c>
      <c r="T8">
        <f t="shared" si="3"/>
        <v>100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  <c r="AA8" s="3"/>
    </row>
    <row r="9" spans="1:37" x14ac:dyDescent="0.2">
      <c r="A9" s="5"/>
      <c r="B9" s="5"/>
      <c r="C9" s="5"/>
      <c r="D9">
        <v>1</v>
      </c>
      <c r="E9">
        <v>0</v>
      </c>
      <c r="F9">
        <v>3</v>
      </c>
      <c r="G9">
        <v>4</v>
      </c>
      <c r="H9">
        <v>2</v>
      </c>
      <c r="O9" s="5"/>
    </row>
    <row r="10" spans="1:37" x14ac:dyDescent="0.2">
      <c r="A10" s="5">
        <f>RANK(B10, B$2:B$88, 0)</f>
        <v>4</v>
      </c>
      <c r="B10" s="5">
        <f>SUM(P10:Y10)</f>
        <v>0</v>
      </c>
      <c r="C10" s="5" t="s">
        <v>5</v>
      </c>
      <c r="D10">
        <v>2</v>
      </c>
      <c r="E10">
        <v>1</v>
      </c>
      <c r="F10">
        <v>1</v>
      </c>
      <c r="G10">
        <v>0</v>
      </c>
      <c r="H10">
        <v>0</v>
      </c>
      <c r="O10" s="5" t="s">
        <v>5</v>
      </c>
      <c r="P10">
        <f t="shared" ref="P10:Y10" si="4">IF(D10=D11,10*P$1*D10,10*P$1*-1*ABS((D10-D11)))</f>
        <v>-10</v>
      </c>
      <c r="Q10">
        <f t="shared" si="4"/>
        <v>-20</v>
      </c>
      <c r="R10">
        <f t="shared" si="4"/>
        <v>30</v>
      </c>
      <c r="S10">
        <f t="shared" si="4"/>
        <v>0</v>
      </c>
      <c r="T10">
        <f t="shared" si="4"/>
        <v>0</v>
      </c>
      <c r="U10">
        <f t="shared" si="4"/>
        <v>0</v>
      </c>
      <c r="V10">
        <f t="shared" si="4"/>
        <v>0</v>
      </c>
      <c r="W10">
        <f t="shared" si="4"/>
        <v>0</v>
      </c>
      <c r="X10">
        <f t="shared" si="4"/>
        <v>0</v>
      </c>
      <c r="Y10">
        <f t="shared" si="4"/>
        <v>0</v>
      </c>
      <c r="AA10" s="3"/>
    </row>
    <row r="11" spans="1:37" x14ac:dyDescent="0.2">
      <c r="A11" s="5"/>
      <c r="B11" s="5"/>
      <c r="C11" s="5"/>
      <c r="D11">
        <v>1</v>
      </c>
      <c r="E11">
        <v>2</v>
      </c>
      <c r="F11">
        <v>1</v>
      </c>
      <c r="G11">
        <v>0</v>
      </c>
      <c r="H11">
        <v>0</v>
      </c>
      <c r="O11" s="5"/>
    </row>
    <row r="12" spans="1:37" x14ac:dyDescent="0.2">
      <c r="A12" s="5">
        <f>RANK(B12, B$2:B$88, 0)</f>
        <v>8</v>
      </c>
      <c r="B12" s="5">
        <f>SUM(P12:Y12)</f>
        <v>-110</v>
      </c>
      <c r="C12" s="5" t="s">
        <v>6</v>
      </c>
      <c r="D12">
        <v>1</v>
      </c>
      <c r="E12">
        <v>0</v>
      </c>
      <c r="F12">
        <v>1</v>
      </c>
      <c r="G12">
        <v>1</v>
      </c>
      <c r="H12">
        <v>0</v>
      </c>
      <c r="O12" s="5" t="s">
        <v>6</v>
      </c>
      <c r="P12">
        <f t="shared" ref="P12:Y12" si="5">IF(D12=D13,10*P$1*D12,10*P$1*-1*ABS((D12-D13)))</f>
        <v>-10</v>
      </c>
      <c r="Q12">
        <f t="shared" si="5"/>
        <v>-20</v>
      </c>
      <c r="R12">
        <f t="shared" si="5"/>
        <v>30</v>
      </c>
      <c r="S12">
        <f t="shared" si="5"/>
        <v>40</v>
      </c>
      <c r="T12">
        <f t="shared" si="5"/>
        <v>-150</v>
      </c>
      <c r="U12">
        <f t="shared" si="5"/>
        <v>0</v>
      </c>
      <c r="V12">
        <f t="shared" si="5"/>
        <v>0</v>
      </c>
      <c r="W12">
        <f t="shared" si="5"/>
        <v>0</v>
      </c>
      <c r="X12">
        <f t="shared" si="5"/>
        <v>0</v>
      </c>
      <c r="Y12">
        <f t="shared" si="5"/>
        <v>0</v>
      </c>
      <c r="AA12" s="3"/>
    </row>
    <row r="13" spans="1:37" x14ac:dyDescent="0.2">
      <c r="A13" s="5"/>
      <c r="B13" s="5"/>
      <c r="C13" s="5"/>
      <c r="D13">
        <v>0</v>
      </c>
      <c r="E13">
        <v>1</v>
      </c>
      <c r="F13">
        <v>1</v>
      </c>
      <c r="G13">
        <v>1</v>
      </c>
      <c r="H13">
        <v>3</v>
      </c>
      <c r="O13" s="5"/>
    </row>
    <row r="14" spans="1:37" x14ac:dyDescent="0.2">
      <c r="A14" s="5">
        <f>RANK(B14, B$2:B$88, 0)</f>
        <v>7</v>
      </c>
      <c r="B14" s="5">
        <f>SUM(P14:Y14)</f>
        <v>-60</v>
      </c>
      <c r="C14" s="5" t="s">
        <v>7</v>
      </c>
      <c r="D14">
        <v>3</v>
      </c>
      <c r="E14">
        <v>1</v>
      </c>
      <c r="F14">
        <v>0</v>
      </c>
      <c r="G14">
        <v>0</v>
      </c>
      <c r="H14">
        <v>1</v>
      </c>
      <c r="O14" s="5" t="s">
        <v>7</v>
      </c>
      <c r="P14">
        <f t="shared" ref="P14:Y14" si="6">IF(D14=D15,10*P$1*D14,10*P$1*-1*ABS((D14-D15)))</f>
        <v>-30</v>
      </c>
      <c r="Q14">
        <f t="shared" si="6"/>
        <v>20</v>
      </c>
      <c r="R14">
        <f t="shared" si="6"/>
        <v>0</v>
      </c>
      <c r="S14">
        <f t="shared" si="6"/>
        <v>0</v>
      </c>
      <c r="T14">
        <f t="shared" si="6"/>
        <v>-50</v>
      </c>
      <c r="U14">
        <f t="shared" si="6"/>
        <v>0</v>
      </c>
      <c r="V14">
        <f t="shared" si="6"/>
        <v>0</v>
      </c>
      <c r="W14">
        <f t="shared" si="6"/>
        <v>0</v>
      </c>
      <c r="X14">
        <f t="shared" si="6"/>
        <v>0</v>
      </c>
      <c r="Y14">
        <f t="shared" si="6"/>
        <v>0</v>
      </c>
      <c r="AA14" s="3"/>
    </row>
    <row r="15" spans="1:37" x14ac:dyDescent="0.2">
      <c r="A15" s="5"/>
      <c r="B15" s="5"/>
      <c r="C15" s="5"/>
      <c r="D15">
        <v>0</v>
      </c>
      <c r="E15">
        <v>1</v>
      </c>
      <c r="F15">
        <v>0</v>
      </c>
      <c r="G15">
        <v>0</v>
      </c>
      <c r="H15">
        <v>0</v>
      </c>
      <c r="O15" s="5"/>
    </row>
    <row r="16" spans="1:37" x14ac:dyDescent="0.2">
      <c r="A16" s="5">
        <f>RANK(B16, B$2:B$88, 0)</f>
        <v>9</v>
      </c>
      <c r="B16" s="5">
        <f>SUM(P16:Y16)</f>
        <v>-260</v>
      </c>
      <c r="C16" s="5" t="s">
        <v>8</v>
      </c>
      <c r="D16">
        <v>3</v>
      </c>
      <c r="E16">
        <v>3</v>
      </c>
      <c r="F16">
        <v>2</v>
      </c>
      <c r="G16">
        <v>3</v>
      </c>
      <c r="H16">
        <v>2</v>
      </c>
      <c r="O16" s="5" t="s">
        <v>8</v>
      </c>
      <c r="P16">
        <f t="shared" ref="P16:Y16" si="7">IF(D16=D17,10*P$1*D16,10*P$1*-1*ABS((D16-D17)))</f>
        <v>-10</v>
      </c>
      <c r="Q16">
        <f t="shared" si="7"/>
        <v>-40</v>
      </c>
      <c r="R16">
        <f t="shared" si="7"/>
        <v>-30</v>
      </c>
      <c r="S16">
        <f t="shared" si="7"/>
        <v>-80</v>
      </c>
      <c r="T16">
        <f t="shared" si="7"/>
        <v>-100</v>
      </c>
      <c r="U16">
        <f t="shared" si="7"/>
        <v>0</v>
      </c>
      <c r="V16">
        <f t="shared" si="7"/>
        <v>0</v>
      </c>
      <c r="W16">
        <f t="shared" si="7"/>
        <v>0</v>
      </c>
      <c r="X16">
        <f t="shared" si="7"/>
        <v>0</v>
      </c>
      <c r="Y16">
        <f t="shared" si="7"/>
        <v>0</v>
      </c>
      <c r="AA16" s="3"/>
    </row>
    <row r="17" spans="1:27" x14ac:dyDescent="0.2">
      <c r="A17" s="5"/>
      <c r="B17" s="5"/>
      <c r="C17" s="5"/>
      <c r="D17">
        <v>2</v>
      </c>
      <c r="E17">
        <v>1</v>
      </c>
      <c r="F17">
        <v>1</v>
      </c>
      <c r="G17">
        <v>1</v>
      </c>
      <c r="H17">
        <v>0</v>
      </c>
      <c r="O17" s="5"/>
    </row>
    <row r="18" spans="1:27" x14ac:dyDescent="0.2">
      <c r="A18" s="5">
        <f>RANK(B18, B$2:B$88, 0)</f>
        <v>5</v>
      </c>
      <c r="B18" s="5">
        <f>SUM(P18:Y18)</f>
        <v>-30</v>
      </c>
      <c r="C18" s="5" t="s">
        <v>9</v>
      </c>
      <c r="D18">
        <v>2</v>
      </c>
      <c r="E18">
        <v>1</v>
      </c>
      <c r="F18">
        <v>2</v>
      </c>
      <c r="G18">
        <v>2</v>
      </c>
      <c r="H18">
        <v>0</v>
      </c>
      <c r="O18" s="5" t="s">
        <v>9</v>
      </c>
      <c r="P18">
        <f t="shared" ref="P18:Y18" si="8">IF(D18=D19,10*P$1*D18,10*P$1*-1*ABS((D18-D19)))</f>
        <v>20</v>
      </c>
      <c r="Q18">
        <f t="shared" si="8"/>
        <v>20</v>
      </c>
      <c r="R18">
        <f t="shared" si="8"/>
        <v>-30</v>
      </c>
      <c r="S18">
        <f t="shared" si="8"/>
        <v>-40</v>
      </c>
      <c r="T18">
        <f t="shared" si="8"/>
        <v>0</v>
      </c>
      <c r="U18">
        <f t="shared" si="8"/>
        <v>0</v>
      </c>
      <c r="V18">
        <f t="shared" si="8"/>
        <v>0</v>
      </c>
      <c r="W18">
        <f t="shared" si="8"/>
        <v>0</v>
      </c>
      <c r="X18">
        <f t="shared" si="8"/>
        <v>0</v>
      </c>
      <c r="Y18">
        <f t="shared" si="8"/>
        <v>0</v>
      </c>
      <c r="AA18" s="3"/>
    </row>
    <row r="19" spans="1:27" x14ac:dyDescent="0.2">
      <c r="A19" s="5"/>
      <c r="B19" s="5"/>
      <c r="C19" s="5"/>
      <c r="D19">
        <v>2</v>
      </c>
      <c r="E19">
        <v>1</v>
      </c>
      <c r="F19">
        <v>1</v>
      </c>
      <c r="G19">
        <v>1</v>
      </c>
      <c r="H19">
        <v>0</v>
      </c>
      <c r="O19" s="5"/>
    </row>
    <row r="21" spans="1:27" x14ac:dyDescent="0.2">
      <c r="C21" s="2" t="s">
        <v>27</v>
      </c>
      <c r="D21">
        <f>D2+D4+D6+D8+D10+D12+D14+D16+D18</f>
        <v>16</v>
      </c>
      <c r="E21">
        <f t="shared" ref="E21:M21" si="9">E2+E4+E6+E8+E10+E12+E14+E16+E18</f>
        <v>11</v>
      </c>
      <c r="F21">
        <f t="shared" si="9"/>
        <v>10</v>
      </c>
      <c r="G21">
        <f t="shared" si="9"/>
        <v>8</v>
      </c>
      <c r="H21">
        <f t="shared" si="9"/>
        <v>6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0</v>
      </c>
      <c r="M21">
        <f t="shared" si="9"/>
        <v>0</v>
      </c>
    </row>
    <row r="22" spans="1:27" x14ac:dyDescent="0.2">
      <c r="C22" s="2" t="s">
        <v>28</v>
      </c>
      <c r="D22">
        <f>D3+D5+D7+D9+D11+D13+D15+D17+D19</f>
        <v>10</v>
      </c>
      <c r="E22">
        <f t="shared" ref="E22:M22" si="10">E3+E5+E7+E9+E11+E13+E15+E17+E19</f>
        <v>9</v>
      </c>
      <c r="F22">
        <f t="shared" si="10"/>
        <v>9</v>
      </c>
      <c r="G22">
        <f t="shared" si="10"/>
        <v>7</v>
      </c>
      <c r="H22">
        <f t="shared" si="10"/>
        <v>6</v>
      </c>
      <c r="I22">
        <f t="shared" si="10"/>
        <v>0</v>
      </c>
      <c r="J22">
        <f t="shared" si="10"/>
        <v>0</v>
      </c>
      <c r="K22">
        <f t="shared" si="10"/>
        <v>0</v>
      </c>
      <c r="L22">
        <f t="shared" si="10"/>
        <v>0</v>
      </c>
      <c r="M22">
        <f t="shared" si="10"/>
        <v>0</v>
      </c>
    </row>
  </sheetData>
  <mergeCells count="36">
    <mergeCell ref="A18:A19"/>
    <mergeCell ref="B18:B19"/>
    <mergeCell ref="C18:C19"/>
    <mergeCell ref="O18:O19"/>
    <mergeCell ref="A14:A15"/>
    <mergeCell ref="B14:B15"/>
    <mergeCell ref="C14:C15"/>
    <mergeCell ref="O14:O15"/>
    <mergeCell ref="A16:A17"/>
    <mergeCell ref="B16:B17"/>
    <mergeCell ref="C16:C17"/>
    <mergeCell ref="O16:O17"/>
    <mergeCell ref="A12:A13"/>
    <mergeCell ref="B12:B13"/>
    <mergeCell ref="C12:C13"/>
    <mergeCell ref="O12:O13"/>
    <mergeCell ref="A8:A9"/>
    <mergeCell ref="B8:B9"/>
    <mergeCell ref="C8:C9"/>
    <mergeCell ref="O8:O9"/>
    <mergeCell ref="A10:A11"/>
    <mergeCell ref="B10:B11"/>
    <mergeCell ref="C10:C11"/>
    <mergeCell ref="O10:O11"/>
    <mergeCell ref="A6:A7"/>
    <mergeCell ref="B6:B7"/>
    <mergeCell ref="C6:C7"/>
    <mergeCell ref="O6:O7"/>
    <mergeCell ref="A2:A3"/>
    <mergeCell ref="B2:B3"/>
    <mergeCell ref="C2:C3"/>
    <mergeCell ref="O2:O3"/>
    <mergeCell ref="A4:A5"/>
    <mergeCell ref="B4:B5"/>
    <mergeCell ref="C4:C5"/>
    <mergeCell ref="O4:O5"/>
  </mergeCells>
  <conditionalFormatting sqref="A12 A8 A6 A1:A2 A4 A10 A16 A18 A20 A22:A1048576 A14">
    <cfRule type="top10" dxfId="7" priority="1" bottom="1" rank="3"/>
    <cfRule type="top10" dxfId="6" priority="2" bottom="1" rank="3"/>
    <cfRule type="top10" dxfId="5" priority="3" rank="4"/>
    <cfRule type="top10" dxfId="4" priority="6" bottom="1" rank="3"/>
    <cfRule type="top10" dxfId="3" priority="7" rank="3"/>
  </conditionalFormatting>
  <conditionalFormatting sqref="A12 A8 A6 A2 A4 A10 A16 A18 A14">
    <cfRule type="top10" dxfId="2" priority="4" bottom="1" rank="3"/>
    <cfRule type="top10" dxfId="1" priority="5" rank="3"/>
    <cfRule type="top10" dxfId="0" priority="8" rank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2.16.25</vt:lpstr>
      <vt:lpstr>2.23.25</vt:lpstr>
      <vt:lpstr>2.15.25</vt:lpstr>
      <vt:lpstr>Sheet2</vt:lpstr>
      <vt:lpstr>6.20.25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Probst</dc:creator>
  <cp:lastModifiedBy>Paul Probst</cp:lastModifiedBy>
  <dcterms:created xsi:type="dcterms:W3CDTF">2025-02-16T05:01:03Z</dcterms:created>
  <dcterms:modified xsi:type="dcterms:W3CDTF">2025-06-21T05:41:56Z</dcterms:modified>
</cp:coreProperties>
</file>